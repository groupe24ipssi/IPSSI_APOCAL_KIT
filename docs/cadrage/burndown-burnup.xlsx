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Burndown (sprint)" sheetId="2" state="visible" r:id="rId2"/>
    <sheet xmlns:r="http://schemas.openxmlformats.org/officeDocument/2006/relationships" name="Burnup (projet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E1B4B"/>
      <sz val="16"/>
    </font>
    <font>
      <i val="1"/>
      <color rgb="0064748B"/>
    </font>
    <font>
      <b val="1"/>
      <color rgb="004F46E5"/>
      <sz val="12"/>
    </font>
    <font>
      <sz val="10.5"/>
    </font>
    <font>
      <i val="1"/>
      <color rgb="0094A3B8"/>
      <sz val="9"/>
    </font>
    <font>
      <b val="1"/>
    </font>
    <font>
      <b val="1"/>
      <color rgb="00FFFFFF"/>
    </font>
    <font>
      <color rgb="0064748B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pivotButton="0" quotePrefix="0" xfId="0"/>
    <xf numFmtId="0" fontId="6" fillId="2" borderId="1" applyAlignment="1" pivotButton="0" quotePrefix="0" xfId="0">
      <alignment horizontal="center"/>
    </xf>
    <xf numFmtId="0" fontId="6" fillId="0" borderId="0" pivotButton="0" quotePrefix="0" xfId="0"/>
    <xf numFmtId="9" fontId="0" fillId="0" borderId="1" pivotButton="0" quotePrefix="0" xfId="0"/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Burndown — reste à faire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 (sprint)'!B8</f>
            </strRef>
          </tx>
          <spPr>
            <a:ln xmlns:a="http://schemas.openxmlformats.org/drawingml/2006/main" w="19050">
              <a:solidFill>
                <a:srgbClr val="94A3B8"/>
              </a:solidFill>
              <a:prstDash val="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'Burndown (sprint)'!$A$9:$A$19</f>
            </numRef>
          </cat>
          <val>
            <numRef>
              <f>'Burndown (sprint)'!$B$9:$B$19</f>
            </numRef>
          </val>
          <smooth val="0"/>
        </ser>
        <ser>
          <idx val="1"/>
          <order val="1"/>
          <tx>
            <strRef>
              <f>'Burndown (sprint)'!C8</f>
            </strRef>
          </tx>
          <spPr>
            <a:ln xmlns:a="http://schemas.openxmlformats.org/drawingml/2006/main" w="28575">
              <a:solidFill>
                <a:srgbClr val="4F46E5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'Burndown (sprint)'!$A$9:$A$19</f>
            </numRef>
          </cat>
          <val>
            <numRef>
              <f>'Burndown (sprint)'!$C$9:$C$19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Jour du 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Reste à faire (pts)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Burnup — périmètre vs réalisé</a:t>
            </a:r>
          </a:p>
        </rich>
      </tx>
    </title>
    <plotArea>
      <lineChart>
        <grouping val="standard"/>
        <ser>
          <idx val="0"/>
          <order val="0"/>
          <tx>
            <strRef>
              <f>'Burnup (projet)'!B4</f>
            </strRef>
          </tx>
          <spPr>
            <a:ln xmlns:a="http://schemas.openxmlformats.org/drawingml/2006/main" w="28575">
              <a:solidFill>
                <a:srgbClr val="DC2626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'Burnup (projet)'!$A$5:$A$11</f>
            </numRef>
          </cat>
          <val>
            <numRef>
              <f>'Burnup (projet)'!$B$5:$B$11</f>
            </numRef>
          </val>
          <smooth val="0"/>
        </ser>
        <ser>
          <idx val="1"/>
          <order val="1"/>
          <tx>
            <strRef>
              <f>'Burnup (projet)'!C4</f>
            </strRef>
          </tx>
          <spPr>
            <a:ln xmlns:a="http://schemas.openxmlformats.org/drawingml/2006/main" w="28575">
              <a:solidFill>
                <a:srgbClr val="0F766E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'Burnup (projet)'!$A$5:$A$11</f>
            </numRef>
          </cat>
          <val>
            <numRef>
              <f>'Burnup (projet)'!$C$5:$C$11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Points de story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Modèle : Burndown de sprint &amp; Burnup de projet</t>
        </is>
      </c>
    </row>
    <row r="3">
      <c r="B3" s="2" t="inlineStr">
        <is>
          <t>APOCAL'IPSSI 2026 · Outil de pilotage (perturbation J4)</t>
        </is>
      </c>
    </row>
    <row r="5">
      <c r="B5" s="3" t="inlineStr">
        <is>
          <t>À quoi ça sert</t>
        </is>
      </c>
    </row>
    <row r="6">
      <c r="B6" s="4" t="inlineStr">
        <is>
          <t>Le BURNDOWN suit le reste à faire d'un sprint : la courbe doit descendre vers 0.</t>
        </is>
      </c>
    </row>
    <row r="7">
      <c r="B7" s="4" t="inlineStr">
        <is>
          <t>Le BURNUP suit le réalisé cumulé du projet face au périmètre total (qui peut monter quand une perturbation ajoute du travail).</t>
        </is>
      </c>
    </row>
    <row r="9">
      <c r="B9" s="3" t="inlineStr">
        <is>
          <t>Comment l'utiliser</t>
        </is>
      </c>
    </row>
    <row r="10">
      <c r="B10" s="4" t="inlineStr">
        <is>
          <t>1. Onglet « Burndown (sprint) » : renseignez le total de points et la durée du sprint. La colonne « Idéal » se calcule toute seule. Chaque soir, saisissez le reste à faire dans la colonne « Réel ».</t>
        </is>
      </c>
    </row>
    <row r="11">
      <c r="B11" s="4" t="inlineStr">
        <is>
          <t>2. Onglet « Burnup (projet) » : à chaque fin de sprint, notez le périmètre total et le réalisé cumulé, et l'événement (perturbation) qui fait éventuellement monter le périmètre.</t>
        </is>
      </c>
    </row>
    <row r="12">
      <c r="B12" s="4" t="inlineStr">
        <is>
          <t>3. Les graphiques et les indicateurs se recalculent automatiquement.</t>
        </is>
      </c>
    </row>
    <row r="13">
      <c r="B13" s="4" t="inlineStr">
        <is>
          <t>4. Les cellules JAUNES sont à remplir. Les chiffres pré-remplis sont l'exemple SkillHub (le même que sur la page J4) : remplacez-les par les vôtres.</t>
        </is>
      </c>
    </row>
    <row r="15">
      <c r="B15" s="3" t="inlineStr">
        <is>
          <t>Comment lire les courbes</t>
        </is>
      </c>
    </row>
    <row r="16">
      <c r="B16" s="4" t="inlineStr">
        <is>
          <t>Burndown : si la courbe RÉELLE passe AU-DESSUS de la ligne idéale, le sprint est en retard (il reste plus de travail que prévu). On réagit tôt (entraide, replanification).</t>
        </is>
      </c>
    </row>
    <row r="17">
      <c r="B17" s="4" t="inlineStr">
        <is>
          <t>Burnup : quand le périmètre monte d'un cran (perturbation), l'écart avec le réalisé se creuse et la date de fin recule. C'est chiffré, pas ressenti.</t>
        </is>
      </c>
    </row>
    <row r="19">
      <c r="B19" s="3" t="inlineStr">
        <is>
          <t>Indicateurs de pilotage (calculés automatiquement)</t>
        </is>
      </c>
    </row>
    <row r="20">
      <c r="B20" s="4" t="inlineStr">
        <is>
          <t>Vélocité moyenne (points par sprint), reste à faire, et estimation des sprints restants = reste ÷ vélocité. À montrer au jury pour prouver que vous pilotez.</t>
        </is>
      </c>
    </row>
    <row r="22">
      <c r="B22" s="5" t="inlineStr">
        <is>
          <t>Auteurs : Mohamed Amine EL AFRIT &amp; Sayf BEJAOUI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2" customWidth="1" min="3" max="3"/>
    <col width="3" customWidth="1" min="4" max="4"/>
    <col width="12" customWidth="1" min="5" max="5"/>
  </cols>
  <sheetData>
    <row r="1">
      <c r="A1" s="1" t="inlineStr">
        <is>
          <t>Burndown de sprint</t>
        </is>
      </c>
    </row>
    <row r="2">
      <c r="A2" s="2" t="inlineStr">
        <is>
          <t>Reste à faire jour par jour. Objectif : atteindre 0 en fin de sprint.</t>
        </is>
      </c>
    </row>
    <row r="4">
      <c r="A4" s="3" t="inlineStr">
        <is>
          <t>Paramètres</t>
        </is>
      </c>
    </row>
    <row r="5">
      <c r="A5" t="inlineStr">
        <is>
          <t>Total de points engagés</t>
        </is>
      </c>
      <c r="B5" s="6" t="n">
        <v>40</v>
      </c>
    </row>
    <row r="6">
      <c r="A6" t="inlineStr">
        <is>
          <t>Durée du sprint (jours)</t>
        </is>
      </c>
      <c r="B6" s="6" t="n">
        <v>10</v>
      </c>
    </row>
    <row r="8">
      <c r="A8" s="7" t="inlineStr">
        <is>
          <t>Jour</t>
        </is>
      </c>
      <c r="B8" s="7" t="inlineStr">
        <is>
          <t>Idéal</t>
        </is>
      </c>
      <c r="C8" s="7" t="inlineStr">
        <is>
          <t>Réel (reste à faire)</t>
        </is>
      </c>
    </row>
    <row r="9">
      <c r="A9" s="8" t="n">
        <v>0</v>
      </c>
      <c r="B9" s="9">
        <f>ROUND($B$5*($B$6-A9)/$B$6,1)</f>
        <v/>
      </c>
      <c r="C9" s="10" t="n">
        <v>40</v>
      </c>
    </row>
    <row r="10">
      <c r="A10" s="8" t="n">
        <v>1</v>
      </c>
      <c r="B10" s="9">
        <f>ROUND($B$5*($B$6-A10)/$B$6,1)</f>
        <v/>
      </c>
      <c r="C10" s="10" t="n">
        <v>39</v>
      </c>
    </row>
    <row r="11">
      <c r="A11" s="8" t="n">
        <v>2</v>
      </c>
      <c r="B11" s="9">
        <f>ROUND($B$5*($B$6-A11)/$B$6,1)</f>
        <v/>
      </c>
      <c r="C11" s="10" t="n">
        <v>37</v>
      </c>
    </row>
    <row r="12">
      <c r="A12" s="8" t="n">
        <v>3</v>
      </c>
      <c r="B12" s="9">
        <f>ROUND($B$5*($B$6-A12)/$B$6,1)</f>
        <v/>
      </c>
      <c r="C12" s="10" t="n">
        <v>36</v>
      </c>
    </row>
    <row r="13">
      <c r="A13" s="8" t="n">
        <v>4</v>
      </c>
      <c r="B13" s="9">
        <f>ROUND($B$5*($B$6-A13)/$B$6,1)</f>
        <v/>
      </c>
      <c r="C13" s="10" t="n">
        <v>34</v>
      </c>
    </row>
    <row r="14">
      <c r="A14" s="8" t="n">
        <v>5</v>
      </c>
      <c r="B14" s="9">
        <f>ROUND($B$5*($B$6-A14)/$B$6,1)</f>
        <v/>
      </c>
      <c r="C14" s="10" t="n">
        <v>34</v>
      </c>
    </row>
    <row r="15">
      <c r="A15" s="8" t="n">
        <v>6</v>
      </c>
      <c r="B15" s="9">
        <f>ROUND($B$5*($B$6-A15)/$B$6,1)</f>
        <v/>
      </c>
      <c r="C15" s="10" t="n">
        <v>29</v>
      </c>
    </row>
    <row r="16">
      <c r="A16" s="8" t="n">
        <v>7</v>
      </c>
      <c r="B16" s="9">
        <f>ROUND($B$5*($B$6-A16)/$B$6,1)</f>
        <v/>
      </c>
      <c r="C16" s="10" t="n">
        <v>22</v>
      </c>
    </row>
    <row r="17">
      <c r="A17" s="8" t="n">
        <v>8</v>
      </c>
      <c r="B17" s="9">
        <f>ROUND($B$5*($B$6-A17)/$B$6,1)</f>
        <v/>
      </c>
      <c r="C17" s="10" t="n">
        <v>14</v>
      </c>
    </row>
    <row r="18">
      <c r="A18" s="8" t="n">
        <v>9</v>
      </c>
      <c r="B18" s="9">
        <f>ROUND($B$5*($B$6-A18)/$B$6,1)</f>
        <v/>
      </c>
      <c r="C18" s="10" t="n">
        <v>6</v>
      </c>
    </row>
    <row r="19">
      <c r="A19" s="8" t="n">
        <v>10</v>
      </c>
      <c r="B19" s="9">
        <f>ROUND($B$5*($B$6-A19)/$B$6,1)</f>
        <v/>
      </c>
      <c r="C19" s="10" t="n">
        <v>2</v>
      </c>
    </row>
    <row r="21">
      <c r="A21" s="3" t="inlineStr">
        <is>
          <t>Indicateurs</t>
        </is>
      </c>
    </row>
    <row r="22">
      <c r="A22" s="11" t="inlineStr">
        <is>
          <t>Reste à faire (dernier jour)</t>
        </is>
      </c>
      <c r="B22" s="8">
        <f>C19</f>
        <v/>
      </c>
    </row>
    <row r="23">
      <c r="A23" s="11" t="inlineStr">
        <is>
          <t>Points terminés</t>
        </is>
      </c>
      <c r="B23" s="8">
        <f>B5-C19</f>
        <v/>
      </c>
    </row>
    <row r="24">
      <c r="A24" s="11" t="inlineStr">
        <is>
          <t>Idéal au dernier jour</t>
        </is>
      </c>
      <c r="B24" s="8">
        <f>B19</f>
        <v/>
      </c>
    </row>
    <row r="25">
      <c r="A25" s="11" t="inlineStr">
        <is>
          <t>% terminé</t>
        </is>
      </c>
      <c r="B25" s="12">
        <f>(B5-C19)/B5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6" customWidth="1" min="3" max="3"/>
    <col width="46" customWidth="1" min="4" max="4"/>
    <col width="3" customWidth="1" min="5" max="5"/>
    <col width="12" customWidth="1" min="6" max="6"/>
  </cols>
  <sheetData>
    <row r="1">
      <c r="A1" s="1" t="inlineStr">
        <is>
          <t>Burnup de projet</t>
        </is>
      </c>
    </row>
    <row r="2">
      <c r="A2" s="2" t="inlineStr">
        <is>
          <t>Périmètre total vs réalisé cumulé, sprint par sprint.</t>
        </is>
      </c>
    </row>
    <row r="4">
      <c r="A4" s="7" t="inlineStr">
        <is>
          <t>Sprint</t>
        </is>
      </c>
      <c r="B4" s="7" t="inlineStr">
        <is>
          <t>Périmètre total</t>
        </is>
      </c>
      <c r="C4" s="7" t="inlineStr">
        <is>
          <t>Réalisé (cumulé)</t>
        </is>
      </c>
      <c r="D4" s="7" t="inlineStr">
        <is>
          <t>Événement (perturbation, ajout de périmètre…)</t>
        </is>
      </c>
    </row>
    <row r="5">
      <c r="A5" s="8" t="inlineStr">
        <is>
          <t>S0</t>
        </is>
      </c>
      <c r="B5" s="10" t="n">
        <v>100</v>
      </c>
      <c r="C5" s="10" t="n">
        <v>0</v>
      </c>
      <c r="D5" s="13" t="inlineStr">
        <is>
          <t>Départ</t>
        </is>
      </c>
    </row>
    <row r="6">
      <c r="A6" s="8" t="inlineStr">
        <is>
          <t>S1</t>
        </is>
      </c>
      <c r="B6" s="10" t="n">
        <v>100</v>
      </c>
      <c r="C6" s="10" t="n">
        <v>20</v>
      </c>
      <c r="D6" s="13" t="inlineStr"/>
    </row>
    <row r="7">
      <c r="A7" s="8" t="inlineStr">
        <is>
          <t>S2</t>
        </is>
      </c>
      <c r="B7" s="10" t="n">
        <v>100</v>
      </c>
      <c r="C7" s="10" t="n">
        <v>40</v>
      </c>
      <c r="D7" s="13" t="inlineStr"/>
    </row>
    <row r="8">
      <c r="A8" s="8" t="inlineStr">
        <is>
          <t>S3</t>
        </is>
      </c>
      <c r="B8" s="10" t="n">
        <v>130</v>
      </c>
      <c r="C8" s="10" t="n">
        <v>58</v>
      </c>
      <c r="D8" s="13" t="inlineStr">
        <is>
          <t>+30 : accessibilité RGAA + i18n exigées</t>
        </is>
      </c>
    </row>
    <row r="9">
      <c r="A9" s="8" t="inlineStr">
        <is>
          <t>S4</t>
        </is>
      </c>
      <c r="B9" s="10" t="n">
        <v>130</v>
      </c>
      <c r="C9" s="10" t="n">
        <v>78</v>
      </c>
      <c r="D9" s="13" t="inlineStr"/>
    </row>
    <row r="10">
      <c r="A10" s="8" t="inlineStr">
        <is>
          <t>S5</t>
        </is>
      </c>
      <c r="B10" s="10" t="n">
        <v>150</v>
      </c>
      <c r="C10" s="10" t="n">
        <v>98</v>
      </c>
      <c r="D10" s="13" t="inlineStr">
        <is>
          <t>+20 : passage à l'échelle (scalabilité)</t>
        </is>
      </c>
    </row>
    <row r="11">
      <c r="A11" s="8" t="inlineStr">
        <is>
          <t>S6</t>
        </is>
      </c>
      <c r="B11" s="10" t="n">
        <v>150</v>
      </c>
      <c r="C11" s="10" t="n">
        <v>118</v>
      </c>
      <c r="D11" s="13" t="inlineStr">
        <is>
          <t>en cours</t>
        </is>
      </c>
    </row>
    <row r="13">
      <c r="A13" s="3" t="inlineStr">
        <is>
          <t>Indicateurs de pilotage</t>
        </is>
      </c>
    </row>
    <row r="14">
      <c r="A14" s="11" t="inlineStr">
        <is>
          <t>Sprints réalisés</t>
        </is>
      </c>
      <c r="B14" s="8">
        <f>COUNTA(A5:A11)-1</f>
        <v/>
      </c>
    </row>
    <row r="15">
      <c r="A15" s="11" t="inlineStr">
        <is>
          <t>Vélocité moyenne (pts/sprint)</t>
        </is>
      </c>
      <c r="B15" s="8">
        <f>ROUND(C11/(COUNTA(A5:A11)-1),1)</f>
        <v/>
      </c>
    </row>
    <row r="16">
      <c r="A16" s="11" t="inlineStr">
        <is>
          <t>Périmètre total actuel</t>
        </is>
      </c>
      <c r="B16" s="8">
        <f>B11</f>
        <v/>
      </c>
    </row>
    <row r="17">
      <c r="A17" s="11" t="inlineStr">
        <is>
          <t>Réalisé actuel</t>
        </is>
      </c>
      <c r="B17" s="8">
        <f>C11</f>
        <v/>
      </c>
    </row>
    <row r="18">
      <c r="A18" s="11" t="inlineStr">
        <is>
          <t>Reste à réaliser</t>
        </is>
      </c>
      <c r="B18" s="8">
        <f>B11-C11</f>
        <v/>
      </c>
    </row>
    <row r="19">
      <c r="A19" s="11" t="inlineStr">
        <is>
          <t>Sprints restants (estimation)</t>
        </is>
      </c>
      <c r="B19" s="8">
        <f>ROUND((B11-C11)/(C11/(COUNTA(A5:A11)-1)),1)</f>
        <v/>
      </c>
    </row>
    <row r="21">
      <c r="A21" s="5" t="inlineStr">
        <is>
          <t>Astuce : les indicateurs pointent sur la dernière ligne (S6). Si vous ajoutez des sprints, insérez les lignes AU-DESSUS de la dernière pour que les plages suivent.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2026-07-02T07:53:38Z</dcterms:created>
  <dcterms:modified xmlns:dcterms="http://purl.org/dc/terms/" xmlns:xsi="http://www.w3.org/2001/XMLSchema-instance" xsi:type="dcterms:W3CDTF">2026-07-02T07:53:38Z</dcterms:modified>
</cp:coreProperties>
</file>