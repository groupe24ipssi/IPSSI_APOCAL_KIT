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gabriel/Documents/code/IPSSI_APOCAL_KIT/docs/cadrage/"/>
    </mc:Choice>
  </mc:AlternateContent>
  <xr:revisionPtr revIDLastSave="0" documentId="13_ncr:1_{6EEE4587-E52A-0A4F-8772-030812AD9F89}" xr6:coauthVersionLast="47" xr6:coauthVersionMax="47" xr10:uidLastSave="{00000000-0000-0000-0000-000000000000}"/>
  <bookViews>
    <workbookView xWindow="0" yWindow="660" windowWidth="30240" windowHeight="17780" tabRatio="500" activeTab="3" xr2:uid="{00000000-000D-0000-FFFF-FFFF00000000}"/>
  </bookViews>
  <sheets>
    <sheet name="Garde" sheetId="1" r:id="rId1"/>
    <sheet name="Identification" sheetId="2" r:id="rId2"/>
    <sheet name="Epics" sheetId="3" r:id="rId3"/>
    <sheet name="Backlog" sheetId="4" r:id="rId4"/>
    <sheet name="DoR &amp; DoD" sheetId="5" r:id="rId5"/>
    <sheet name="Auto-évaluati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5" i="4" l="1"/>
</calcChain>
</file>

<file path=xl/sharedStrings.xml><?xml version="1.0" encoding="utf-8"?>
<sst xmlns="http://schemas.openxmlformats.org/spreadsheetml/2006/main" count="389" uniqueCount="215">
  <si>
    <t>A</t>
  </si>
  <si>
    <t>APOCAL'IPSSI</t>
  </si>
  <si>
    <t>CADRAGE MATINAL · ARTEFACT 6 SUR 7</t>
  </si>
  <si>
    <t>Product Backlog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</si>
  <si>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</si>
  <si>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</si>
  <si>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</si>
  <si>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</si>
  <si>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</si>
  <si>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</si>
  <si>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Sprint concerné</t>
  </si>
  <si>
    <t>Version</t>
  </si>
  <si>
    <t>Date de remise</t>
  </si>
  <si>
    <t>29/06/2026</t>
  </si>
  <si>
    <t>Statut</t>
  </si>
  <si>
    <t>💡 Convention de nommage du fichier :</t>
  </si>
  <si>
    <t>equipe-XX-nom-document-vY.Z.xlsx  (ex. equipe-03-product-backlog-v1.0.xlsx)</t>
  </si>
  <si>
    <t>EPICS : EDUTUTOR IA</t>
  </si>
  <si>
    <t>6 épopées correspondant aux activités utilisateur de la Story Map</t>
  </si>
  <si>
    <t>💡 OBJECTIF</t>
  </si>
  <si>
    <t>Une Epic regroupe plusieurs user stories qui partagent une intention commune. Permet la vue d'ensemble du scope et facilite la priorisation.</t>
  </si>
  <si>
    <t>ID</t>
  </si>
  <si>
    <t>Epic</t>
  </si>
  <si>
    <t>Activité utilisateur (Story Map)</t>
  </si>
  <si>
    <t>Stories incluses</t>
  </si>
  <si>
    <t>SP total</t>
  </si>
  <si>
    <t>EP-01</t>
  </si>
  <si>
    <t>Identification utilisateur</t>
  </si>
  <si>
    <t>S'inscrire</t>
  </si>
  <si>
    <t>US-01, US-07, US-13, US-18</t>
  </si>
  <si>
    <t>n.c.</t>
  </si>
  <si>
    <t>EP-02</t>
  </si>
  <si>
    <t>Gestion de contenu</t>
  </si>
  <si>
    <t>Uploader un cours</t>
  </si>
  <si>
    <t>US-02, US-08, US-14</t>
  </si>
  <si>
    <t>EP-03</t>
  </si>
  <si>
    <t>Génération de quiz</t>
  </si>
  <si>
    <t>Générer un quiz</t>
  </si>
  <si>
    <t>US-03, US-09, US-15, US-19</t>
  </si>
  <si>
    <t>EP-04</t>
  </si>
  <si>
    <t>Passage de quiz</t>
  </si>
  <si>
    <t>Passer le quiz</t>
  </si>
  <si>
    <t>US-04, US-05, US-10, US-20</t>
  </si>
  <si>
    <t>EP-05</t>
  </si>
  <si>
    <t>Suivi de progression</t>
  </si>
  <si>
    <t>Consulter résultats</t>
  </si>
  <si>
    <t>US-06, US-11, US-16</t>
  </si>
  <si>
    <t>EP-06</t>
  </si>
  <si>
    <t>Conformité &amp; administration</t>
  </si>
  <si>
    <t>Gérer son compte (RGPD)</t>
  </si>
  <si>
    <t>US-12, US-17</t>
  </si>
  <si>
    <t>EP-07</t>
  </si>
  <si>
    <t>Encadrement &amp; suivi de classe (enseignant)</t>
  </si>
  <si>
    <t>Encadrer sa classe</t>
  </si>
  <si>
    <t>US-21, US-22, US-23, US-24, US-25</t>
  </si>
  <si>
    <t>PRODUCT BACKLOG : EDUTUTOR IA</t>
  </si>
  <si>
    <t>Liste ordonnée et priorisée de TOUTES les fonctionnalités du produit. Source unique de vérité du scope.</t>
  </si>
  <si>
    <t>📐 FORMAT INVEST</t>
  </si>
  <si>
    <t>Independent · Negotiable · Valuable · Estimable · Small · Testable. Format de phrase : « En tant que [persona], je veux [action] afin de [bénéfice]. »</t>
  </si>
  <si>
    <t>✅ BON</t>
  </si>
  <si>
    <t>« En tant qu'étudiante, je veux générer un quiz en moins de 60 s à partir de mon PDF, afin de réviser efficacement avant les partiels. »</t>
  </si>
  <si>
    <t>❌ À ÉVITER</t>
  </si>
  <si>
    <t>« On veut une fonctionnalité de génération » (pas INVEST, ni persona ni bénéfice clair)</t>
  </si>
  <si>
    <t>User Story (INVEST)</t>
  </si>
  <si>
    <t>Persona</t>
  </si>
  <si>
    <t>MoSCoW</t>
  </si>
  <si>
    <t>SP</t>
  </si>
  <si>
    <t>Critères d'acceptation (3 G/W/T pour MUST)</t>
  </si>
  <si>
    <t>DoR</t>
  </si>
  <si>
    <t>DoD</t>
  </si>
  <si>
    <t>Sprint</t>
  </si>
  <si>
    <t>US-01</t>
  </si>
  <si>
    <t>En tant qu'étudiant·e, je veux créer un compte avec email et mot de passe, afin de sauvegarder mes quizz et y revenir.</t>
  </si>
  <si>
    <t>Étudiant·e</t>
  </si>
  <si>
    <t>MUST</t>
  </si>
  <si>
    <t>G: visiteur non authentifié sur /signup
W: soumet email valide + mdp ≥ 8 caractères
T: compte créé, email envoyé, redirect /upload</t>
  </si>
  <si>
    <t>□</t>
  </si>
  <si>
    <t>S1</t>
  </si>
  <si>
    <t>Todo</t>
  </si>
  <si>
    <t>US-02</t>
  </si>
  <si>
    <t>En tant qu'étudiant·e, je veux uploader un PDF ou saisir un texte de cours, afin de ne pas avoir à recopier mon support.</t>
  </si>
  <si>
    <t>G: user authentifié sur /upload
W: dépose PDF ≤ 5 Mo OU texte ≥ 200 car
T: contenu extrait, stocké, bouton 'Générer' visible</t>
  </si>
  <si>
    <t>US-03</t>
  </si>
  <si>
    <t>En tant qu'étudiant·e, je veux générer un quiz de 10 QCM en moins de 60 s, afin de réviser rapidement un chapitre.</t>
  </si>
  <si>
    <t>G: un cours stocké pour l'user
W: clique 'Générer un quiz' sur /quiz
T: 10 QCM générés en &lt; 60 s via Llama 3.1 8B local</t>
  </si>
  <si>
    <t>S2</t>
  </si>
  <si>
    <t>US-04</t>
  </si>
  <si>
    <t>En tant qu'étudiant·e, je veux soumettre mes réponses et obtenir une correction automatique, afin de savoir où je me situe.</t>
  </si>
  <si>
    <t>G: un quiz généré et affiché
W: user soumet ses 10 réponses
T: chaque réponse comparée, statut bon/mauvais enregistré</t>
  </si>
  <si>
    <t>S3</t>
  </si>
  <si>
    <t>US-05</t>
  </si>
  <si>
    <t>En tant qu'étudiant·e, je veux voir mon score /10 et le détail bonnes/mauvaises réponses, afin de mesurer ma progression.</t>
  </si>
  <si>
    <t>G: un quiz soumis
W: user arrive sur /resultat
T: score /10 affiché + 10 questions avec corrections détaillées</t>
  </si>
  <si>
    <t>US-06</t>
  </si>
  <si>
    <t>En tant qu'étudiant·e, je veux consulter l'historique de mes quizz passés, afin de suivre mon évolution dans le temps.</t>
  </si>
  <si>
    <t>G: user authentifié sur /historique
W: la page se charge
T: liste des quizz triés par date desc, avec titre/date/score/refaire</t>
  </si>
  <si>
    <t>S4</t>
  </si>
  <si>
    <t>US-07</t>
  </si>
  <si>
    <t>En tant qu'étudiant·e, je veux réinitialiser mon mot de passe via email, afin de pouvoir récupérer mon compte sans support.</t>
  </si>
  <si>
    <t>SHOULD</t>
  </si>
  <si>
    <t>[1 critère type : lien magique valide 24 h, redirect /reset-password]</t>
  </si>
  <si>
    <t>S6</t>
  </si>
  <si>
    <t>Backlog</t>
  </si>
  <si>
    <t>US-08</t>
  </si>
  <si>
    <t>En tant qu'étudiant·e, je veux une bibliothèque pour mes cours uploadés, afin de retrouver vite mes PDF d'un semestre.</t>
  </si>
  <si>
    <t>[1 critère type : page /library liste cours avec date, titre, nb quizz]</t>
  </si>
  <si>
    <t>US-09</t>
  </si>
  <si>
    <t>En tant qu'étudiant·e, je veux choisir le niveau de difficulté et le nombre de questions (5-20), afin d'adapter à mon temps disponible.</t>
  </si>
  <si>
    <t>[1 critère type : 3 niveaux (facile/moyen/dur) + slider 5-20 sur /quiz]</t>
  </si>
  <si>
    <t>US-10</t>
  </si>
  <si>
    <t>En tant qu'étudiant·e, je veux un mode timer optionnel par question, afin de m'entraîner aux conditions d'examen.</t>
  </si>
  <si>
    <t>[1 critère type : toggle ON/OFF + slider 10-30 s configurable]</t>
  </si>
  <si>
    <t>S7</t>
  </si>
  <si>
    <t>US-11</t>
  </si>
  <si>
    <t>En tant qu'étudiant·e, je veux un dashboard de progression par chapitre, afin de cibler mes révisions sur mes lacunes.</t>
  </si>
  <si>
    <t>[1 critère type : page /dashboard avec graphique en barres score / chap.]</t>
  </si>
  <si>
    <t>US-12</t>
  </si>
  <si>
    <t>En tant qu'utilisateur·trice, je veux exporter toutes mes données en JSON et CSV, afin d'exercer mon droit d'accès Art. 15 RGPD.</t>
  </si>
  <si>
    <t>Tous personas</t>
  </si>
  <si>
    <t>[1 critère type : bouton export → ZIP avec quizz.json + reponses.csv + audit.json]</t>
  </si>
  <si>
    <t>S5</t>
  </si>
  <si>
    <t>US-13</t>
  </si>
  <si>
    <t>En tant qu'étudiant·e, je veux me connecter via Google ou Apple OAuth, afin d'éviter de gérer un énième mot de passe.</t>
  </si>
  <si>
    <t>COULD</t>
  </si>
  <si>
    <t>[1 critère type : boutons OAuth + provider Django allauth]</t>
  </si>
  <si>
    <t>US-14</t>
  </si>
  <si>
    <t>En tant qu'étudiant·e, je veux importer un cours depuis une URL web (article, blog), afin d'enrichir mes sources de révision.</t>
  </si>
  <si>
    <t>[1 critère type : champ URL + scraping article + filtrage textes parasites]</t>
  </si>
  <si>
    <t>US-15</t>
  </si>
  <si>
    <t>En tant qu'enseignant·e, je veux générer des questions ouvertes corrigées par le LLM, afin de varier les types d'évaluation.</t>
  </si>
  <si>
    <t>Enseignant·e</t>
  </si>
  <si>
    <t>[1 critère type : mode 'question ouverte' avec barème indicatif et correction LLM]</t>
  </si>
  <si>
    <t>US-16</t>
  </si>
  <si>
    <t>En tant qu'étudiant·e, je veux que l'app identifie mes lacunes par chapitre, afin de me concentrer sur ce qui pèche.</t>
  </si>
  <si>
    <t>[1 critère type : algo agrégation scores &lt; 5/10 + tag chapitre concerné]</t>
  </si>
  <si>
    <t>US-17</t>
  </si>
  <si>
    <t>En tant qu'utilisateur·trice, je veux supprimer mon compte et toutes mes données, afin d'exercer mon droit à l'oubli Art. 17 RGPD.</t>
  </si>
  <si>
    <t>[1 critère type : bouton avec confirmation 2-étapes + cron purge 30 j]</t>
  </si>
  <si>
    <t>US-18</t>
  </si>
  <si>
    <t>En tant que DSI d'établissement, je veux un SSO entreprise SAML/OIDC, afin d'intégrer EduTutor à mon AD/ENT.</t>
  </si>
  <si>
    <t>Établissement</t>
  </si>
  <si>
    <t>WON'T</t>
  </si>
  <si>
    <t>Reporté Release 3+ (cible B2B post-prototype)</t>
  </si>
  <si>
    <t>Won't</t>
  </si>
  <si>
    <t>US-19</t>
  </si>
  <si>
    <t>En tant qu'étudiant·e, je veux discuter avec un chatbot IA pour explorer un sujet, afin d'apprendre par dialogue.</t>
  </si>
  <si>
    <t>Hors cible primaire (concurrent direct Khanmigo). Ne pas y aller.</t>
  </si>
  <si>
    <t>US-20</t>
  </si>
  <si>
    <t>En tant qu'étudiant·e, je veux affronter d'autres étudiants en mode compétition, afin d'ajouter du fun à la révision.</t>
  </si>
  <si>
    <t>Hors scope vision (apprentissage personnalisé, pas gamification compétitive)</t>
  </si>
  <si>
    <t>US-21</t>
  </si>
  <si>
    <t>En tant qu'enseignante, je veux créer une classe et y inscrire mes 28 étudiants, afin de suivre leur progression comme un groupe.</t>
  </si>
  <si>
    <t>[critère type : page /classe — créer + inscrire des étudiants (email/lien), classe visible au dashboard]</t>
  </si>
  <si>
    <t>US-22</t>
  </si>
  <si>
    <t>En tant qu'enseignante, je veux assigner un quiz généré à toute ma classe via un lien unique, afin d'évaluer un chapitre sans le recréer pour chacun. (réutilise US-03)</t>
  </si>
  <si>
    <t>[critère type : lien d'assignation unique par classe + suivi des soumissions par étudiant]</t>
  </si>
  <si>
    <t>US-23</t>
  </si>
  <si>
    <t>En tant qu'enseignante, je veux un tableau de bord des scores de ma classe (moyenne + par étudiant), afin de voir d'un coup d'œil qui réussit. (réutilise US-11)</t>
  </si>
  <si>
    <t>[critère type : page /classe/dashboard — moyenne de la classe + tableau trié par score décroissant]</t>
  </si>
  <si>
    <t>US-24</t>
  </si>
  <si>
    <t>En tant qu'enseignante, je veux repérer automatiquement les étudiants décrocheurs (score &lt; seuil configurable), afin d'intervenir avant l'examen.</t>
  </si>
  <si>
    <t>[critère type : seuil configurable + mise en évidence des étudiants sous le seuil]</t>
  </si>
  <si>
    <t>US-25</t>
  </si>
  <si>
    <t>En tant qu'enseignante, je veux envoyer un conseil ciblé à un étudiant depuis son résultat, afin de l'aider à progresser.</t>
  </si>
  <si>
    <t>[critère type : bouton 'Conseil' sur un résultat → message stocké et visible côté étudiant]</t>
  </si>
  <si>
    <t>TOTAL</t>
  </si>
  <si>
    <t>DEFINITION OF READY &amp; DEFINITION OF DONE</t>
  </si>
  <si>
    <t>Critères partagés par toute l'équipe, à respecter pour chaque story</t>
  </si>
  <si>
    <t>🟢 DEFINITION OF READY (DoR), avant Sprint Planning</t>
  </si>
  <si>
    <t>Une story est READY (tirable en sprint) si TOUS ces critères sont cochés :</t>
  </si>
  <si>
    <t>□ User story rédigée au format INVEST (En tant que ... je veux ... afin de ...)</t>
  </si>
  <si>
    <t>□ Persona identifié (Étudiant·e / Enseignant·e / Établissement)</t>
  </si>
  <si>
    <t>□ Priorité MoSCoW assignée et justifiée (Must / Should / Could / Won't)</t>
  </si>
  <si>
    <t>□ Critères d'acceptation explicites et testables (format Given/When/Then de préférence)</t>
  </si>
  <si>
    <t>□ Story estimée par l'équipe en story points (Planning Poker recommandé)</t>
  </si>
  <si>
    <t>□ Dépendances avec d'autres stories identifiées (et non-bloquantes au moment du sprint)</t>
  </si>
  <si>
    <t>□ Pas de question ouverte côté Product Owner (clarté du besoin)</t>
  </si>
  <si>
    <t>□ Maquettes / wireframes disponibles si la story comporte une interface (Figma, Excalidraw)</t>
  </si>
  <si>
    <t>🟢 DEFINITION OF DONE (DoD), pour clôturer une story</t>
  </si>
  <si>
    <t>Une story est DONE (validée Sprint Review) si TOUS ces critères sont cochés :</t>
  </si>
  <si>
    <t>□ Tous les critères d'acceptation de la story sont satisfaits (vérifiables en démo)</t>
  </si>
  <si>
    <t>□ Code reviewé par au moins 1 autre membre de l'équipe (Pull Request approuvée)</t>
  </si>
  <si>
    <t>□ Tests pertinents ajoutés (pytest pour backend, vitest pour frontend, minimum unitaires)</t>
  </si>
  <si>
    <t>□ Lint et tests verts en CI (pipeline GitHub Actions au vert)</t>
  </si>
  <si>
    <t>□ Documentation à jour (README, docstrings, /docs/ si concept nouveau)</t>
  </si>
  <si>
    <t>□ Pas de TODO/FIXME laissé sans ticket de suivi (créer une issue si nécessaire)</t>
  </si>
  <si>
    <t>□ Story démontrée et acceptée par le PO en Sprint Review</t>
  </si>
  <si>
    <t>□ Code mergé sur la branche principale + tag Git si fin de release</t>
  </si>
  <si>
    <t>□ Pas de régression introduite (suite de tests intégrale au vert)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</si>
  <si>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</si>
  <si>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</si>
  <si>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</si>
  <si>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</si>
  <si>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</si>
  <si>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20 user stories pré-remplies (6 MUST + 6 SHOULD + 5 COULD + 3 WON'T)</t>
  </si>
  <si>
    <t>Toutes les stories sont au format INVEST (En tant que ... je veux ... afin de ...)</t>
  </si>
  <si>
    <t>Chaque story a une priorité MoSCoW assignée et un persona ciblé</t>
  </si>
  <si>
    <t>Les 6 MUST correspondent exactement aux 6 features F1-F6 imposées</t>
  </si>
  <si>
    <t>Les 6 MUST ont des critères d'acceptation Given/When/Then complets</t>
  </si>
  <si>
    <t>Chaque story est rattachée à une Epic (EP-01 à EP-06)</t>
  </si>
  <si>
    <t>Les story points sont estimés (au moins indicatifs)</t>
  </si>
  <si>
    <t>La DoR et la DoD sont rédigées et partagées par l'équipe</t>
  </si>
  <si>
    <t>Le Product Backlog a été ordonné par valeur business + dépendances</t>
  </si>
  <si>
    <t>Toutes les stories ont été passées au crible INVEST en équipe</t>
  </si>
  <si>
    <t>25 stories · 137 SP scope total · à arbitrer contre vélocité cible ~56 SP</t>
  </si>
  <si>
    <t>Médéric LEBOUVIER, Gabriel MARTIN, Amos CLEGBAZA, Matéo FAUQUEMERGUE, Corentin PECONTAL, Yanis HELALI</t>
  </si>
  <si>
    <t>En revue PO</t>
  </si>
  <si>
    <t>25 user stories organisées en 7 epics, avec critères INVEST et MoSCoW</t>
  </si>
  <si>
    <t>☑ Oui   ☐ Partiel   ☐ Non</t>
  </si>
  <si>
    <t>☑Oui   ☐ Partiel   ☐ Non</t>
  </si>
  <si>
    <t>25 user stories sont présents</t>
  </si>
  <si>
    <t>Tous dans le bon format</t>
  </si>
  <si>
    <t>v1.0</t>
  </si>
  <si>
    <t>Cadrage</t>
  </si>
  <si>
    <t>25 user stories : 8 MUST (MVP F1-F6 + EP-07 core) + 7 SHOULD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</si>
</sst>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charset val="1"/>
    </font>
    <font>
      <b/>
      <sz val="72"/>
      <color rgb="FF1E1B4B"/>
      <name val="Cambria"/>
      <family val="1"/>
    </font>
    <font>
      <b/>
      <sz val="14"/>
      <color rgb="FF1E1B4B"/>
      <name val="Cambria"/>
      <family val="1"/>
    </font>
    <font>
      <b/>
      <sz val="10"/>
      <color rgb="FFF59E0B"/>
      <name val="Cambria"/>
      <family val="1"/>
    </font>
    <font>
      <b/>
      <sz val="24"/>
      <color rgb="FF1E1B4B"/>
      <name val="Cambria"/>
      <family val="1"/>
    </font>
    <font>
      <i/>
      <sz val="12"/>
      <color rgb="FF475569"/>
      <name val="Cambria"/>
      <family val="1"/>
    </font>
    <font>
      <b/>
      <sz val="11"/>
      <color rgb="FF475569"/>
      <name val="Cambria"/>
      <family val="1"/>
    </font>
    <font>
      <i/>
      <sz val="9"/>
      <color rgb="FF475569"/>
      <name val="Cambria"/>
      <family val="1"/>
    </font>
    <font>
      <b/>
      <sz val="12"/>
      <color rgb="FFF59E0B"/>
      <name val="Cambria"/>
      <family val="1"/>
    </font>
    <font>
      <i/>
      <sz val="10"/>
      <color rgb="FF475569"/>
      <name val="Cambria"/>
      <family val="1"/>
    </font>
    <font>
      <b/>
      <sz val="11"/>
      <color rgb="FF1E1B4B"/>
      <name val="Cambria"/>
      <family val="1"/>
    </font>
    <font>
      <i/>
      <sz val="11"/>
      <color rgb="FF475569"/>
      <name val="Cambria"/>
      <family val="1"/>
    </font>
    <font>
      <b/>
      <sz val="9"/>
      <color rgb="FFF59E0B"/>
      <name val="Cambria"/>
      <family val="1"/>
    </font>
    <font>
      <b/>
      <sz val="18"/>
      <color rgb="FF1E1B4B"/>
      <name val="Cambria"/>
      <family val="1"/>
    </font>
    <font>
      <b/>
      <sz val="11"/>
      <color rgb="FFFFFFFF"/>
      <name val="Cambria"/>
      <family val="1"/>
    </font>
    <font>
      <sz val="10"/>
      <color rgb="FF1E1B4B"/>
      <name val="Cambria"/>
      <family val="1"/>
    </font>
    <font>
      <b/>
      <sz val="10"/>
      <color rgb="FF16A34A"/>
      <name val="Cambria"/>
      <family val="1"/>
    </font>
    <font>
      <b/>
      <sz val="10"/>
      <color rgb="FFDC2626"/>
      <name val="Cambria"/>
      <family val="1"/>
    </font>
    <font>
      <b/>
      <sz val="10"/>
      <color rgb="FF1E1B4B"/>
      <name val="Cambria"/>
      <family val="1"/>
    </font>
    <font>
      <sz val="9"/>
      <color rgb="FF1E1B4B"/>
      <name val="Cambria"/>
      <family val="1"/>
    </font>
    <font>
      <b/>
      <sz val="10"/>
      <color rgb="FFB45309"/>
      <name val="Cambria"/>
      <family val="1"/>
    </font>
    <font>
      <b/>
      <sz val="10"/>
      <color rgb="FF475569"/>
      <name val="Cambria"/>
      <family val="1"/>
    </font>
    <font>
      <b/>
      <sz val="14"/>
      <color rgb="FF16A34A"/>
      <name val="Cambria"/>
      <family val="1"/>
    </font>
    <font>
      <sz val="11"/>
      <color rgb="FF1E1B4B"/>
      <name val="Cambria"/>
      <family val="1"/>
    </font>
    <font>
      <sz val="9"/>
      <color rgb="FF374151"/>
      <name val="Courier New"/>
      <family val="3"/>
    </font>
    <font>
      <i/>
      <sz val="11"/>
      <color rgb="FF475569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FECACA"/>
        <bgColor rgb="FFCCCCCC"/>
      </patternFill>
    </fill>
    <fill>
      <patternFill patternType="solid">
        <fgColor rgb="FFFEF3C7"/>
        <bgColor rgb="FFF8FAFC"/>
      </patternFill>
    </fill>
    <fill>
      <patternFill patternType="solid">
        <fgColor rgb="FFDCFCE7"/>
        <bgColor rgb="FFE2E8F0"/>
      </patternFill>
    </fill>
    <fill>
      <patternFill patternType="solid">
        <fgColor rgb="FFE2E8F0"/>
        <bgColor rgb="FFE0E7FF"/>
      </patternFill>
    </fill>
    <fill>
      <patternFill patternType="solid">
        <fgColor rgb="FFE0E7FF"/>
        <bgColor rgb="FFE2E8F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3" borderId="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16" fillId="0" borderId="0" xfId="0" applyFont="1"/>
    <xf numFmtId="0" fontId="17" fillId="0" borderId="0" xfId="0" applyFont="1"/>
    <xf numFmtId="0" fontId="18" fillId="0" borderId="2" xfId="0" applyFont="1" applyBorder="1" applyAlignment="1">
      <alignment vertical="top" wrapText="1"/>
    </xf>
    <xf numFmtId="0" fontId="19" fillId="0" borderId="2" xfId="0" applyFont="1" applyBorder="1" applyAlignment="1">
      <alignment vertical="top" wrapText="1"/>
    </xf>
    <xf numFmtId="0" fontId="17" fillId="4" borderId="2" xfId="0" applyFont="1" applyFill="1" applyBorder="1" applyAlignment="1">
      <alignment horizontal="center" vertical="center"/>
    </xf>
    <xf numFmtId="0" fontId="20" fillId="5" borderId="2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10" fillId="8" borderId="2" xfId="0" applyFont="1" applyFill="1" applyBorder="1"/>
    <xf numFmtId="0" fontId="0" fillId="8" borderId="2" xfId="0" applyFill="1" applyBorder="1"/>
    <xf numFmtId="0" fontId="9" fillId="8" borderId="2" xfId="0" applyFont="1" applyFill="1" applyBorder="1"/>
    <xf numFmtId="0" fontId="22" fillId="0" borderId="0" xfId="0" applyFont="1"/>
    <xf numFmtId="0" fontId="23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24" fillId="0" borderId="0" xfId="0" applyFont="1"/>
    <xf numFmtId="0" fontId="2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7FF"/>
      <rgbColor rgb="FFE2E8F0"/>
      <rgbColor rgb="FFF8FAFC"/>
      <rgbColor rgb="FF99CCFF"/>
      <rgbColor rgb="FFFF99CC"/>
      <rgbColor rgb="FFCC99FF"/>
      <rgbColor rgb="FFFECACA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zoomScaleNormal="100" workbookViewId="0">
      <selection activeCell="C22" sqref="C22"/>
    </sheetView>
  </sheetViews>
  <sheetFormatPr baseColWidth="10" defaultColWidth="8.6640625" defaultRowHeight="15" x14ac:dyDescent="0.2"/>
  <cols>
    <col min="1" max="1" width="4" customWidth="1"/>
    <col min="2" max="2" width="90" customWidth="1"/>
  </cols>
  <sheetData>
    <row r="2" spans="2:2" ht="89" x14ac:dyDescent="0.85">
      <c r="B2" s="1" t="s">
        <v>0</v>
      </c>
    </row>
    <row r="4" spans="2:2" ht="18" x14ac:dyDescent="0.2">
      <c r="B4" s="2" t="s">
        <v>1</v>
      </c>
    </row>
    <row r="8" spans="2:2" x14ac:dyDescent="0.2">
      <c r="B8" s="3" t="s">
        <v>2</v>
      </c>
    </row>
    <row r="10" spans="2:2" ht="30" x14ac:dyDescent="0.3">
      <c r="B10" s="4" t="s">
        <v>3</v>
      </c>
    </row>
    <row r="12" spans="2:2" ht="16" x14ac:dyDescent="0.2">
      <c r="B12" s="5" t="s">
        <v>207</v>
      </c>
    </row>
    <row r="20" spans="2:2" x14ac:dyDescent="0.2">
      <c r="B20" s="6" t="s">
        <v>4</v>
      </c>
    </row>
    <row r="21" spans="2:2" x14ac:dyDescent="0.2">
      <c r="B21" s="7" t="s">
        <v>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zoomScaleNormal="100" workbookViewId="0">
      <selection activeCell="C33" sqref="C33"/>
    </sheetView>
  </sheetViews>
  <sheetFormatPr baseColWidth="10" defaultColWidth="8.6640625" defaultRowHeight="15" x14ac:dyDescent="0.2"/>
  <cols>
    <col min="1" max="1" width="2" customWidth="1"/>
    <col min="2" max="2" width="25" customWidth="1"/>
    <col min="3" max="3" width="106" customWidth="1"/>
  </cols>
  <sheetData>
    <row r="2" spans="2:3" ht="16" x14ac:dyDescent="0.2">
      <c r="B2" s="8" t="s">
        <v>6</v>
      </c>
    </row>
    <row r="3" spans="2:3" x14ac:dyDescent="0.2">
      <c r="B3" s="9" t="s">
        <v>7</v>
      </c>
    </row>
    <row r="5" spans="2:3" ht="21.75" customHeight="1" x14ac:dyDescent="0.2">
      <c r="B5" s="10" t="s">
        <v>8</v>
      </c>
      <c r="C5" s="32">
        <v>24</v>
      </c>
    </row>
    <row r="6" spans="2:3" ht="21.75" customHeight="1" x14ac:dyDescent="0.2">
      <c r="B6" s="10" t="s">
        <v>9</v>
      </c>
      <c r="C6" s="11" t="s">
        <v>205</v>
      </c>
    </row>
    <row r="7" spans="2:3" ht="21.75" customHeight="1" x14ac:dyDescent="0.2">
      <c r="B7" s="10" t="s">
        <v>10</v>
      </c>
      <c r="C7" s="34" t="s">
        <v>213</v>
      </c>
    </row>
    <row r="8" spans="2:3" ht="21.75" customHeight="1" x14ac:dyDescent="0.2">
      <c r="B8" s="10" t="s">
        <v>11</v>
      </c>
      <c r="C8" s="34" t="s">
        <v>212</v>
      </c>
    </row>
    <row r="9" spans="2:3" ht="21.75" customHeight="1" x14ac:dyDescent="0.2">
      <c r="B9" s="10" t="s">
        <v>12</v>
      </c>
      <c r="C9" s="11" t="s">
        <v>13</v>
      </c>
    </row>
    <row r="10" spans="2:3" ht="21.75" customHeight="1" x14ac:dyDescent="0.2">
      <c r="B10" s="10" t="s">
        <v>14</v>
      </c>
      <c r="C10" s="11" t="s">
        <v>206</v>
      </c>
    </row>
    <row r="12" spans="2:3" x14ac:dyDescent="0.2">
      <c r="B12" s="12" t="s">
        <v>15</v>
      </c>
    </row>
    <row r="13" spans="2:3" x14ac:dyDescent="0.2">
      <c r="B13" s="7" t="s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showGridLines="0" zoomScaleNormal="100" workbookViewId="0">
      <selection activeCell="E13" sqref="B13:E13"/>
    </sheetView>
  </sheetViews>
  <sheetFormatPr baseColWidth="10" defaultColWidth="8.6640625" defaultRowHeight="15" x14ac:dyDescent="0.2"/>
  <cols>
    <col min="1" max="1" width="8" customWidth="1"/>
    <col min="2" max="2" width="30" customWidth="1"/>
    <col min="3" max="3" width="25" customWidth="1"/>
    <col min="4" max="4" width="32" customWidth="1"/>
    <col min="5" max="5" width="10" customWidth="1"/>
  </cols>
  <sheetData>
    <row r="1" spans="1:5" ht="23" x14ac:dyDescent="0.25">
      <c r="A1" s="13" t="s">
        <v>17</v>
      </c>
    </row>
    <row r="2" spans="1:5" x14ac:dyDescent="0.2">
      <c r="A2" s="9" t="s">
        <v>18</v>
      </c>
    </row>
    <row r="4" spans="1:5" x14ac:dyDescent="0.2">
      <c r="A4" s="3" t="s">
        <v>19</v>
      </c>
      <c r="B4" s="9" t="s">
        <v>20</v>
      </c>
    </row>
    <row r="6" spans="1:5" ht="30" x14ac:dyDescent="0.2">
      <c r="A6" s="14" t="s">
        <v>21</v>
      </c>
      <c r="B6" s="14" t="s">
        <v>22</v>
      </c>
      <c r="C6" s="14" t="s">
        <v>23</v>
      </c>
      <c r="D6" s="14" t="s">
        <v>24</v>
      </c>
      <c r="E6" s="14" t="s">
        <v>25</v>
      </c>
    </row>
    <row r="7" spans="1:5" ht="30" customHeight="1" x14ac:dyDescent="0.2">
      <c r="A7" s="15" t="s">
        <v>26</v>
      </c>
      <c r="B7" s="16" t="s">
        <v>27</v>
      </c>
      <c r="C7" s="16" t="s">
        <v>28</v>
      </c>
      <c r="D7" s="16" t="s">
        <v>29</v>
      </c>
      <c r="E7" s="16" t="s">
        <v>30</v>
      </c>
    </row>
    <row r="8" spans="1:5" ht="30" customHeight="1" x14ac:dyDescent="0.2">
      <c r="A8" s="15" t="s">
        <v>31</v>
      </c>
      <c r="B8" s="16" t="s">
        <v>32</v>
      </c>
      <c r="C8" s="16" t="s">
        <v>33</v>
      </c>
      <c r="D8" s="16" t="s">
        <v>34</v>
      </c>
      <c r="E8" s="16" t="s">
        <v>30</v>
      </c>
    </row>
    <row r="9" spans="1:5" ht="30" customHeight="1" x14ac:dyDescent="0.2">
      <c r="A9" s="15" t="s">
        <v>35</v>
      </c>
      <c r="B9" s="16" t="s">
        <v>36</v>
      </c>
      <c r="C9" s="16" t="s">
        <v>37</v>
      </c>
      <c r="D9" s="16" t="s">
        <v>38</v>
      </c>
      <c r="E9" s="16" t="s">
        <v>30</v>
      </c>
    </row>
    <row r="10" spans="1:5" ht="30" customHeight="1" x14ac:dyDescent="0.2">
      <c r="A10" s="15" t="s">
        <v>39</v>
      </c>
      <c r="B10" s="16" t="s">
        <v>40</v>
      </c>
      <c r="C10" s="16" t="s">
        <v>41</v>
      </c>
      <c r="D10" s="16" t="s">
        <v>42</v>
      </c>
      <c r="E10" s="16" t="s">
        <v>30</v>
      </c>
    </row>
    <row r="11" spans="1:5" ht="30" customHeight="1" x14ac:dyDescent="0.2">
      <c r="A11" s="15" t="s">
        <v>43</v>
      </c>
      <c r="B11" s="16" t="s">
        <v>44</v>
      </c>
      <c r="C11" s="16" t="s">
        <v>45</v>
      </c>
      <c r="D11" s="16" t="s">
        <v>46</v>
      </c>
      <c r="E11" s="16" t="s">
        <v>30</v>
      </c>
    </row>
    <row r="12" spans="1:5" ht="30" customHeight="1" x14ac:dyDescent="0.2">
      <c r="A12" s="15" t="s">
        <v>47</v>
      </c>
      <c r="B12" s="16" t="s">
        <v>48</v>
      </c>
      <c r="C12" s="16" t="s">
        <v>49</v>
      </c>
      <c r="D12" s="16" t="s">
        <v>50</v>
      </c>
      <c r="E12" s="16" t="s">
        <v>30</v>
      </c>
    </row>
    <row r="13" spans="1:5" ht="30" customHeight="1" x14ac:dyDescent="0.2">
      <c r="A13" s="15" t="s">
        <v>51</v>
      </c>
      <c r="B13" s="16" t="s">
        <v>52</v>
      </c>
      <c r="C13" s="16" t="s">
        <v>53</v>
      </c>
      <c r="D13" s="16" t="s">
        <v>54</v>
      </c>
      <c r="E13" s="16" t="s"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5"/>
  <sheetViews>
    <sheetView showGridLines="0" tabSelected="1" zoomScaleNormal="100" workbookViewId="0">
      <pane ySplit="9" topLeftCell="A32" activePane="bottomLeft" state="frozen"/>
      <selection pane="bottomLeft" activeCell="G35" sqref="G35"/>
    </sheetView>
  </sheetViews>
  <sheetFormatPr baseColWidth="10" defaultColWidth="8.6640625" defaultRowHeight="15" x14ac:dyDescent="0.2"/>
  <cols>
    <col min="1" max="2" width="8" customWidth="1"/>
    <col min="3" max="3" width="38" customWidth="1"/>
    <col min="4" max="4" width="13" customWidth="1"/>
    <col min="5" max="5" width="9" customWidth="1"/>
    <col min="6" max="6" width="6" customWidth="1"/>
    <col min="7" max="7" width="35" customWidth="1"/>
    <col min="8" max="9" width="6" customWidth="1"/>
    <col min="10" max="10" width="8" customWidth="1"/>
    <col min="11" max="11" width="10" customWidth="1"/>
  </cols>
  <sheetData>
    <row r="1" spans="1:11" ht="23" x14ac:dyDescent="0.25">
      <c r="A1" s="13" t="s">
        <v>55</v>
      </c>
    </row>
    <row r="2" spans="1:11" x14ac:dyDescent="0.2">
      <c r="A2" s="9" t="s">
        <v>214</v>
      </c>
    </row>
    <row r="4" spans="1:11" x14ac:dyDescent="0.2">
      <c r="A4" s="3" t="s">
        <v>19</v>
      </c>
      <c r="B4" s="9" t="s">
        <v>56</v>
      </c>
    </row>
    <row r="5" spans="1:11" x14ac:dyDescent="0.2">
      <c r="A5" s="3" t="s">
        <v>57</v>
      </c>
      <c r="B5" s="9" t="s">
        <v>58</v>
      </c>
    </row>
    <row r="6" spans="1:11" x14ac:dyDescent="0.2">
      <c r="A6" s="17" t="s">
        <v>59</v>
      </c>
      <c r="B6" s="9" t="s">
        <v>60</v>
      </c>
    </row>
    <row r="7" spans="1:11" x14ac:dyDescent="0.2">
      <c r="A7" s="18" t="s">
        <v>61</v>
      </c>
      <c r="B7" s="9" t="s">
        <v>62</v>
      </c>
    </row>
    <row r="9" spans="1:11" ht="30" x14ac:dyDescent="0.2">
      <c r="A9" s="14" t="s">
        <v>21</v>
      </c>
      <c r="B9" s="14" t="s">
        <v>22</v>
      </c>
      <c r="C9" s="14" t="s">
        <v>63</v>
      </c>
      <c r="D9" s="14" t="s">
        <v>64</v>
      </c>
      <c r="E9" s="14" t="s">
        <v>65</v>
      </c>
      <c r="F9" s="14" t="s">
        <v>66</v>
      </c>
      <c r="G9" s="14" t="s">
        <v>67</v>
      </c>
      <c r="H9" s="14" t="s">
        <v>68</v>
      </c>
      <c r="I9" s="14" t="s">
        <v>69</v>
      </c>
      <c r="J9" s="14" t="s">
        <v>70</v>
      </c>
      <c r="K9" s="14" t="s">
        <v>14</v>
      </c>
    </row>
    <row r="10" spans="1:11" ht="69.75" customHeight="1" x14ac:dyDescent="0.2">
      <c r="A10" s="19" t="s">
        <v>71</v>
      </c>
      <c r="B10" s="20" t="s">
        <v>26</v>
      </c>
      <c r="C10" s="20" t="s">
        <v>72</v>
      </c>
      <c r="D10" s="20" t="s">
        <v>73</v>
      </c>
      <c r="E10" s="21" t="s">
        <v>74</v>
      </c>
      <c r="F10" s="20">
        <v>3</v>
      </c>
      <c r="G10" s="20" t="s">
        <v>75</v>
      </c>
      <c r="H10" s="20" t="s">
        <v>76</v>
      </c>
      <c r="I10" s="20" t="s">
        <v>76</v>
      </c>
      <c r="J10" s="20" t="s">
        <v>77</v>
      </c>
      <c r="K10" s="20" t="s">
        <v>78</v>
      </c>
    </row>
    <row r="11" spans="1:11" ht="69.75" customHeight="1" x14ac:dyDescent="0.2">
      <c r="A11" s="19" t="s">
        <v>79</v>
      </c>
      <c r="B11" s="20" t="s">
        <v>31</v>
      </c>
      <c r="C11" s="20" t="s">
        <v>80</v>
      </c>
      <c r="D11" s="20" t="s">
        <v>73</v>
      </c>
      <c r="E11" s="21" t="s">
        <v>74</v>
      </c>
      <c r="F11" s="20">
        <v>5</v>
      </c>
      <c r="G11" s="20" t="s">
        <v>81</v>
      </c>
      <c r="H11" s="20" t="s">
        <v>76</v>
      </c>
      <c r="I11" s="20" t="s">
        <v>76</v>
      </c>
      <c r="J11" s="20" t="s">
        <v>77</v>
      </c>
      <c r="K11" s="20" t="s">
        <v>78</v>
      </c>
    </row>
    <row r="12" spans="1:11" ht="69.75" customHeight="1" x14ac:dyDescent="0.2">
      <c r="A12" s="19" t="s">
        <v>82</v>
      </c>
      <c r="B12" s="20" t="s">
        <v>35</v>
      </c>
      <c r="C12" s="20" t="s">
        <v>83</v>
      </c>
      <c r="D12" s="20" t="s">
        <v>73</v>
      </c>
      <c r="E12" s="21" t="s">
        <v>74</v>
      </c>
      <c r="F12" s="20">
        <v>8</v>
      </c>
      <c r="G12" s="20" t="s">
        <v>84</v>
      </c>
      <c r="H12" s="20" t="s">
        <v>76</v>
      </c>
      <c r="I12" s="20" t="s">
        <v>76</v>
      </c>
      <c r="J12" s="20" t="s">
        <v>85</v>
      </c>
      <c r="K12" s="20" t="s">
        <v>78</v>
      </c>
    </row>
    <row r="13" spans="1:11" ht="69.75" customHeight="1" x14ac:dyDescent="0.2">
      <c r="A13" s="19" t="s">
        <v>86</v>
      </c>
      <c r="B13" s="20" t="s">
        <v>39</v>
      </c>
      <c r="C13" s="20" t="s">
        <v>87</v>
      </c>
      <c r="D13" s="20" t="s">
        <v>73</v>
      </c>
      <c r="E13" s="21" t="s">
        <v>74</v>
      </c>
      <c r="F13" s="20">
        <v>3</v>
      </c>
      <c r="G13" s="20" t="s">
        <v>88</v>
      </c>
      <c r="H13" s="20" t="s">
        <v>76</v>
      </c>
      <c r="I13" s="20" t="s">
        <v>76</v>
      </c>
      <c r="J13" s="20" t="s">
        <v>89</v>
      </c>
      <c r="K13" s="20" t="s">
        <v>78</v>
      </c>
    </row>
    <row r="14" spans="1:11" ht="69.75" customHeight="1" x14ac:dyDescent="0.2">
      <c r="A14" s="19" t="s">
        <v>90</v>
      </c>
      <c r="B14" s="20" t="s">
        <v>39</v>
      </c>
      <c r="C14" s="20" t="s">
        <v>91</v>
      </c>
      <c r="D14" s="20" t="s">
        <v>73</v>
      </c>
      <c r="E14" s="21" t="s">
        <v>74</v>
      </c>
      <c r="F14" s="20">
        <v>3</v>
      </c>
      <c r="G14" s="20" t="s">
        <v>92</v>
      </c>
      <c r="H14" s="20" t="s">
        <v>76</v>
      </c>
      <c r="I14" s="20" t="s">
        <v>76</v>
      </c>
      <c r="J14" s="20" t="s">
        <v>89</v>
      </c>
      <c r="K14" s="20" t="s">
        <v>78</v>
      </c>
    </row>
    <row r="15" spans="1:11" ht="69.75" customHeight="1" x14ac:dyDescent="0.2">
      <c r="A15" s="19" t="s">
        <v>93</v>
      </c>
      <c r="B15" s="20" t="s">
        <v>43</v>
      </c>
      <c r="C15" s="20" t="s">
        <v>94</v>
      </c>
      <c r="D15" s="20" t="s">
        <v>73</v>
      </c>
      <c r="E15" s="21" t="s">
        <v>74</v>
      </c>
      <c r="F15" s="20">
        <v>3</v>
      </c>
      <c r="G15" s="20" t="s">
        <v>95</v>
      </c>
      <c r="H15" s="20" t="s">
        <v>76</v>
      </c>
      <c r="I15" s="20" t="s">
        <v>76</v>
      </c>
      <c r="J15" s="20" t="s">
        <v>96</v>
      </c>
      <c r="K15" s="20" t="s">
        <v>78</v>
      </c>
    </row>
    <row r="16" spans="1:11" ht="69.75" customHeight="1" x14ac:dyDescent="0.2">
      <c r="A16" s="19" t="s">
        <v>97</v>
      </c>
      <c r="B16" s="20" t="s">
        <v>26</v>
      </c>
      <c r="C16" s="20" t="s">
        <v>98</v>
      </c>
      <c r="D16" s="20" t="s">
        <v>73</v>
      </c>
      <c r="E16" s="22" t="s">
        <v>99</v>
      </c>
      <c r="F16" s="20">
        <v>3</v>
      </c>
      <c r="G16" s="20" t="s">
        <v>100</v>
      </c>
      <c r="H16" s="20" t="s">
        <v>76</v>
      </c>
      <c r="I16" s="20" t="s">
        <v>76</v>
      </c>
      <c r="J16" s="20" t="s">
        <v>112</v>
      </c>
      <c r="K16" s="20" t="s">
        <v>102</v>
      </c>
    </row>
    <row r="17" spans="1:11" ht="69.75" customHeight="1" x14ac:dyDescent="0.2">
      <c r="A17" s="19" t="s">
        <v>103</v>
      </c>
      <c r="B17" s="20" t="s">
        <v>31</v>
      </c>
      <c r="C17" s="20" t="s">
        <v>104</v>
      </c>
      <c r="D17" s="20" t="s">
        <v>73</v>
      </c>
      <c r="E17" s="22" t="s">
        <v>99</v>
      </c>
      <c r="F17" s="20">
        <v>5</v>
      </c>
      <c r="G17" s="20" t="s">
        <v>105</v>
      </c>
      <c r="H17" s="20" t="s">
        <v>76</v>
      </c>
      <c r="I17" s="20" t="s">
        <v>76</v>
      </c>
      <c r="J17" s="20" t="s">
        <v>30</v>
      </c>
      <c r="K17" s="20" t="s">
        <v>102</v>
      </c>
    </row>
    <row r="18" spans="1:11" ht="69.75" customHeight="1" x14ac:dyDescent="0.2">
      <c r="A18" s="19" t="s">
        <v>106</v>
      </c>
      <c r="B18" s="20" t="s">
        <v>35</v>
      </c>
      <c r="C18" s="20" t="s">
        <v>107</v>
      </c>
      <c r="D18" s="20" t="s">
        <v>73</v>
      </c>
      <c r="E18" s="22" t="s">
        <v>99</v>
      </c>
      <c r="F18" s="20">
        <v>5</v>
      </c>
      <c r="G18" s="20" t="s">
        <v>108</v>
      </c>
      <c r="H18" s="20" t="s">
        <v>76</v>
      </c>
      <c r="I18" s="20" t="s">
        <v>76</v>
      </c>
      <c r="J18" s="20" t="s">
        <v>30</v>
      </c>
      <c r="K18" s="20" t="s">
        <v>102</v>
      </c>
    </row>
    <row r="19" spans="1:11" ht="69.75" customHeight="1" x14ac:dyDescent="0.2">
      <c r="A19" s="19" t="s">
        <v>109</v>
      </c>
      <c r="B19" s="20" t="s">
        <v>39</v>
      </c>
      <c r="C19" s="20" t="s">
        <v>110</v>
      </c>
      <c r="D19" s="20" t="s">
        <v>73</v>
      </c>
      <c r="E19" s="22" t="s">
        <v>99</v>
      </c>
      <c r="F19" s="20">
        <v>3</v>
      </c>
      <c r="G19" s="20" t="s">
        <v>111</v>
      </c>
      <c r="H19" s="20" t="s">
        <v>76</v>
      </c>
      <c r="I19" s="20" t="s">
        <v>76</v>
      </c>
      <c r="J19" s="20" t="s">
        <v>30</v>
      </c>
      <c r="K19" s="20" t="s">
        <v>102</v>
      </c>
    </row>
    <row r="20" spans="1:11" ht="69.75" customHeight="1" x14ac:dyDescent="0.2">
      <c r="A20" s="19" t="s">
        <v>113</v>
      </c>
      <c r="B20" s="20" t="s">
        <v>43</v>
      </c>
      <c r="C20" s="20" t="s">
        <v>114</v>
      </c>
      <c r="D20" s="20" t="s">
        <v>73</v>
      </c>
      <c r="E20" s="22" t="s">
        <v>99</v>
      </c>
      <c r="F20" s="20">
        <v>5</v>
      </c>
      <c r="G20" s="20" t="s">
        <v>115</v>
      </c>
      <c r="H20" s="20" t="s">
        <v>76</v>
      </c>
      <c r="I20" s="20" t="s">
        <v>76</v>
      </c>
      <c r="J20" s="20" t="s">
        <v>112</v>
      </c>
      <c r="K20" s="20" t="s">
        <v>102</v>
      </c>
    </row>
    <row r="21" spans="1:11" ht="69.75" customHeight="1" x14ac:dyDescent="0.2">
      <c r="A21" s="19" t="s">
        <v>116</v>
      </c>
      <c r="B21" s="20" t="s">
        <v>47</v>
      </c>
      <c r="C21" s="20" t="s">
        <v>117</v>
      </c>
      <c r="D21" s="20" t="s">
        <v>118</v>
      </c>
      <c r="E21" s="22" t="s">
        <v>99</v>
      </c>
      <c r="F21" s="20">
        <v>5</v>
      </c>
      <c r="G21" s="20" t="s">
        <v>119</v>
      </c>
      <c r="H21" s="20" t="s">
        <v>76</v>
      </c>
      <c r="I21" s="20" t="s">
        <v>76</v>
      </c>
      <c r="J21" s="20" t="s">
        <v>120</v>
      </c>
      <c r="K21" s="20" t="s">
        <v>102</v>
      </c>
    </row>
    <row r="22" spans="1:11" ht="69.75" customHeight="1" x14ac:dyDescent="0.2">
      <c r="A22" s="19" t="s">
        <v>121</v>
      </c>
      <c r="B22" s="20" t="s">
        <v>26</v>
      </c>
      <c r="C22" s="20" t="s">
        <v>122</v>
      </c>
      <c r="D22" s="20" t="s">
        <v>73</v>
      </c>
      <c r="E22" s="23" t="s">
        <v>123</v>
      </c>
      <c r="F22" s="20">
        <v>5</v>
      </c>
      <c r="G22" s="20" t="s">
        <v>124</v>
      </c>
      <c r="H22" s="20" t="s">
        <v>76</v>
      </c>
      <c r="I22" s="20" t="s">
        <v>76</v>
      </c>
      <c r="J22" s="20" t="s">
        <v>30</v>
      </c>
      <c r="K22" s="20" t="s">
        <v>102</v>
      </c>
    </row>
    <row r="23" spans="1:11" ht="69.75" customHeight="1" x14ac:dyDescent="0.2">
      <c r="A23" s="19" t="s">
        <v>125</v>
      </c>
      <c r="B23" s="20" t="s">
        <v>31</v>
      </c>
      <c r="C23" s="20" t="s">
        <v>126</v>
      </c>
      <c r="D23" s="20" t="s">
        <v>73</v>
      </c>
      <c r="E23" s="23" t="s">
        <v>123</v>
      </c>
      <c r="F23" s="20">
        <v>8</v>
      </c>
      <c r="G23" s="20" t="s">
        <v>127</v>
      </c>
      <c r="H23" s="20" t="s">
        <v>76</v>
      </c>
      <c r="I23" s="20" t="s">
        <v>76</v>
      </c>
      <c r="J23" s="20" t="s">
        <v>30</v>
      </c>
      <c r="K23" s="20" t="s">
        <v>102</v>
      </c>
    </row>
    <row r="24" spans="1:11" ht="69.75" customHeight="1" x14ac:dyDescent="0.2">
      <c r="A24" s="19" t="s">
        <v>128</v>
      </c>
      <c r="B24" s="20" t="s">
        <v>35</v>
      </c>
      <c r="C24" s="20" t="s">
        <v>129</v>
      </c>
      <c r="D24" s="20" t="s">
        <v>130</v>
      </c>
      <c r="E24" s="23" t="s">
        <v>123</v>
      </c>
      <c r="F24" s="20">
        <v>13</v>
      </c>
      <c r="G24" s="20" t="s">
        <v>131</v>
      </c>
      <c r="H24" s="20" t="s">
        <v>76</v>
      </c>
      <c r="I24" s="20" t="s">
        <v>76</v>
      </c>
      <c r="J24" s="20" t="s">
        <v>30</v>
      </c>
      <c r="K24" s="20" t="s">
        <v>102</v>
      </c>
    </row>
    <row r="25" spans="1:11" ht="69.75" customHeight="1" x14ac:dyDescent="0.2">
      <c r="A25" s="19" t="s">
        <v>132</v>
      </c>
      <c r="B25" s="20" t="s">
        <v>43</v>
      </c>
      <c r="C25" s="20" t="s">
        <v>133</v>
      </c>
      <c r="D25" s="20" t="s">
        <v>73</v>
      </c>
      <c r="E25" s="23" t="s">
        <v>123</v>
      </c>
      <c r="F25" s="20">
        <v>8</v>
      </c>
      <c r="G25" s="20" t="s">
        <v>134</v>
      </c>
      <c r="H25" s="20" t="s">
        <v>76</v>
      </c>
      <c r="I25" s="20" t="s">
        <v>76</v>
      </c>
      <c r="J25" s="20" t="s">
        <v>30</v>
      </c>
      <c r="K25" s="20" t="s">
        <v>102</v>
      </c>
    </row>
    <row r="26" spans="1:11" ht="69.75" customHeight="1" x14ac:dyDescent="0.2">
      <c r="A26" s="19" t="s">
        <v>135</v>
      </c>
      <c r="B26" s="20" t="s">
        <v>47</v>
      </c>
      <c r="C26" s="20" t="s">
        <v>136</v>
      </c>
      <c r="D26" s="20" t="s">
        <v>118</v>
      </c>
      <c r="E26" s="23" t="s">
        <v>123</v>
      </c>
      <c r="F26" s="20">
        <v>5</v>
      </c>
      <c r="G26" s="20" t="s">
        <v>137</v>
      </c>
      <c r="H26" s="20" t="s">
        <v>76</v>
      </c>
      <c r="I26" s="20" t="s">
        <v>76</v>
      </c>
      <c r="J26" s="20" t="s">
        <v>30</v>
      </c>
      <c r="K26" s="20" t="s">
        <v>102</v>
      </c>
    </row>
    <row r="27" spans="1:11" ht="69.75" customHeight="1" x14ac:dyDescent="0.2">
      <c r="A27" s="19" t="s">
        <v>138</v>
      </c>
      <c r="B27" s="20" t="s">
        <v>26</v>
      </c>
      <c r="C27" s="20" t="s">
        <v>139</v>
      </c>
      <c r="D27" s="20" t="s">
        <v>140</v>
      </c>
      <c r="E27" s="24" t="s">
        <v>141</v>
      </c>
      <c r="F27" s="20"/>
      <c r="G27" s="20" t="s">
        <v>142</v>
      </c>
      <c r="H27" s="20" t="s">
        <v>30</v>
      </c>
      <c r="I27" s="20" t="s">
        <v>30</v>
      </c>
      <c r="J27" s="20" t="s">
        <v>30</v>
      </c>
      <c r="K27" s="20" t="s">
        <v>143</v>
      </c>
    </row>
    <row r="28" spans="1:11" ht="69.75" customHeight="1" x14ac:dyDescent="0.2">
      <c r="A28" s="19" t="s">
        <v>144</v>
      </c>
      <c r="B28" s="20" t="s">
        <v>35</v>
      </c>
      <c r="C28" s="20" t="s">
        <v>145</v>
      </c>
      <c r="D28" s="20" t="s">
        <v>73</v>
      </c>
      <c r="E28" s="24" t="s">
        <v>141</v>
      </c>
      <c r="F28" s="20"/>
      <c r="G28" s="20" t="s">
        <v>146</v>
      </c>
      <c r="H28" s="20" t="s">
        <v>30</v>
      </c>
      <c r="I28" s="20" t="s">
        <v>30</v>
      </c>
      <c r="J28" s="20" t="s">
        <v>30</v>
      </c>
      <c r="K28" s="20" t="s">
        <v>143</v>
      </c>
    </row>
    <row r="29" spans="1:11" ht="69.75" customHeight="1" x14ac:dyDescent="0.2">
      <c r="A29" s="19" t="s">
        <v>147</v>
      </c>
      <c r="B29" s="20" t="s">
        <v>39</v>
      </c>
      <c r="C29" s="20" t="s">
        <v>148</v>
      </c>
      <c r="D29" s="20" t="s">
        <v>73</v>
      </c>
      <c r="E29" s="24" t="s">
        <v>141</v>
      </c>
      <c r="F29" s="20"/>
      <c r="G29" s="20" t="s">
        <v>149</v>
      </c>
      <c r="H29" s="20" t="s">
        <v>30</v>
      </c>
      <c r="I29" s="20" t="s">
        <v>30</v>
      </c>
      <c r="J29" s="20" t="s">
        <v>30</v>
      </c>
      <c r="K29" s="20" t="s">
        <v>143</v>
      </c>
    </row>
    <row r="30" spans="1:11" ht="69.75" customHeight="1" x14ac:dyDescent="0.2">
      <c r="A30" s="19" t="s">
        <v>150</v>
      </c>
      <c r="B30" s="20" t="s">
        <v>51</v>
      </c>
      <c r="C30" s="20" t="s">
        <v>151</v>
      </c>
      <c r="D30" s="20" t="s">
        <v>130</v>
      </c>
      <c r="E30" s="22" t="s">
        <v>74</v>
      </c>
      <c r="F30" s="20">
        <v>5</v>
      </c>
      <c r="G30" s="20" t="s">
        <v>152</v>
      </c>
      <c r="H30" s="20" t="s">
        <v>76</v>
      </c>
      <c r="I30" s="20" t="s">
        <v>76</v>
      </c>
      <c r="J30" s="20" t="s">
        <v>96</v>
      </c>
      <c r="K30" s="20" t="s">
        <v>102</v>
      </c>
    </row>
    <row r="31" spans="1:11" ht="69.75" customHeight="1" x14ac:dyDescent="0.2">
      <c r="A31" s="19" t="s">
        <v>153</v>
      </c>
      <c r="B31" s="20" t="s">
        <v>51</v>
      </c>
      <c r="C31" s="20" t="s">
        <v>154</v>
      </c>
      <c r="D31" s="20" t="s">
        <v>130</v>
      </c>
      <c r="E31" s="22" t="s">
        <v>74</v>
      </c>
      <c r="F31" s="20">
        <v>5</v>
      </c>
      <c r="G31" s="20" t="s">
        <v>155</v>
      </c>
      <c r="H31" s="20" t="s">
        <v>76</v>
      </c>
      <c r="I31" s="20" t="s">
        <v>76</v>
      </c>
      <c r="J31" s="20" t="s">
        <v>120</v>
      </c>
      <c r="K31" s="20" t="s">
        <v>102</v>
      </c>
    </row>
    <row r="32" spans="1:11" ht="69.75" customHeight="1" x14ac:dyDescent="0.2">
      <c r="A32" s="19" t="s">
        <v>156</v>
      </c>
      <c r="B32" s="20" t="s">
        <v>51</v>
      </c>
      <c r="C32" s="20" t="s">
        <v>157</v>
      </c>
      <c r="D32" s="20" t="s">
        <v>130</v>
      </c>
      <c r="E32" s="22" t="s">
        <v>99</v>
      </c>
      <c r="F32" s="20">
        <v>8</v>
      </c>
      <c r="G32" s="20" t="s">
        <v>158</v>
      </c>
      <c r="H32" s="20" t="s">
        <v>76</v>
      </c>
      <c r="I32" s="20" t="s">
        <v>76</v>
      </c>
      <c r="J32" s="20" t="s">
        <v>101</v>
      </c>
      <c r="K32" s="20" t="s">
        <v>102</v>
      </c>
    </row>
    <row r="33" spans="1:11" ht="69.75" customHeight="1" x14ac:dyDescent="0.2">
      <c r="A33" s="19" t="s">
        <v>159</v>
      </c>
      <c r="B33" s="20" t="s">
        <v>51</v>
      </c>
      <c r="C33" s="20" t="s">
        <v>160</v>
      </c>
      <c r="D33" s="20" t="s">
        <v>130</v>
      </c>
      <c r="E33" s="23" t="s">
        <v>123</v>
      </c>
      <c r="F33" s="20">
        <v>5</v>
      </c>
      <c r="G33" s="20" t="s">
        <v>161</v>
      </c>
      <c r="H33" s="20" t="s">
        <v>76</v>
      </c>
      <c r="I33" s="20" t="s">
        <v>76</v>
      </c>
      <c r="J33" s="20" t="s">
        <v>30</v>
      </c>
      <c r="K33" s="20" t="s">
        <v>102</v>
      </c>
    </row>
    <row r="34" spans="1:11" ht="69.75" customHeight="1" x14ac:dyDescent="0.2">
      <c r="A34" s="19" t="s">
        <v>162</v>
      </c>
      <c r="B34" s="20" t="s">
        <v>51</v>
      </c>
      <c r="C34" s="20" t="s">
        <v>163</v>
      </c>
      <c r="D34" s="20" t="s">
        <v>130</v>
      </c>
      <c r="E34" s="23" t="s">
        <v>123</v>
      </c>
      <c r="F34" s="20">
        <v>5</v>
      </c>
      <c r="G34" s="20" t="s">
        <v>164</v>
      </c>
      <c r="H34" s="20" t="s">
        <v>76</v>
      </c>
      <c r="I34" s="20" t="s">
        <v>76</v>
      </c>
      <c r="J34" s="20" t="s">
        <v>30</v>
      </c>
      <c r="K34" s="20" t="s">
        <v>102</v>
      </c>
    </row>
    <row r="35" spans="1:11" x14ac:dyDescent="0.2">
      <c r="A35" s="25" t="s">
        <v>165</v>
      </c>
      <c r="B35" s="26"/>
      <c r="C35" s="26"/>
      <c r="D35" s="26"/>
      <c r="E35" s="26"/>
      <c r="F35" s="25">
        <f>SUMIF(J10:J34,"&lt;&gt;n.c.",F10:F34)</f>
        <v>56</v>
      </c>
      <c r="G35" s="27" t="s">
        <v>204</v>
      </c>
      <c r="H35" s="26"/>
      <c r="I35" s="26"/>
      <c r="J35" s="26"/>
      <c r="K35" s="2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showGridLines="0" zoomScaleNormal="100" workbookViewId="0"/>
  </sheetViews>
  <sheetFormatPr baseColWidth="10" defaultColWidth="8.6640625" defaultRowHeight="15" x14ac:dyDescent="0.2"/>
  <cols>
    <col min="1" max="1" width="95" customWidth="1"/>
  </cols>
  <sheetData>
    <row r="1" spans="1:1" ht="23" x14ac:dyDescent="0.25">
      <c r="A1" s="13" t="s">
        <v>166</v>
      </c>
    </row>
    <row r="2" spans="1:1" x14ac:dyDescent="0.2">
      <c r="A2" s="9" t="s">
        <v>167</v>
      </c>
    </row>
    <row r="4" spans="1:1" ht="18" x14ac:dyDescent="0.2">
      <c r="A4" s="28" t="s">
        <v>168</v>
      </c>
    </row>
    <row r="5" spans="1:1" x14ac:dyDescent="0.2">
      <c r="A5" s="9" t="s">
        <v>169</v>
      </c>
    </row>
    <row r="7" spans="1:1" x14ac:dyDescent="0.2">
      <c r="A7" s="29" t="s">
        <v>170</v>
      </c>
    </row>
    <row r="8" spans="1:1" x14ac:dyDescent="0.2">
      <c r="A8" s="29" t="s">
        <v>171</v>
      </c>
    </row>
    <row r="9" spans="1:1" x14ac:dyDescent="0.2">
      <c r="A9" s="29" t="s">
        <v>172</v>
      </c>
    </row>
    <row r="10" spans="1:1" x14ac:dyDescent="0.2">
      <c r="A10" s="29" t="s">
        <v>173</v>
      </c>
    </row>
    <row r="11" spans="1:1" x14ac:dyDescent="0.2">
      <c r="A11" s="29" t="s">
        <v>174</v>
      </c>
    </row>
    <row r="12" spans="1:1" x14ac:dyDescent="0.2">
      <c r="A12" s="29" t="s">
        <v>175</v>
      </c>
    </row>
    <row r="13" spans="1:1" x14ac:dyDescent="0.2">
      <c r="A13" s="29" t="s">
        <v>176</v>
      </c>
    </row>
    <row r="14" spans="1:1" x14ac:dyDescent="0.2">
      <c r="A14" s="29" t="s">
        <v>177</v>
      </c>
    </row>
    <row r="17" spans="1:1" ht="18" x14ac:dyDescent="0.2">
      <c r="A17" s="28" t="s">
        <v>178</v>
      </c>
    </row>
    <row r="18" spans="1:1" x14ac:dyDescent="0.2">
      <c r="A18" s="9" t="s">
        <v>179</v>
      </c>
    </row>
    <row r="20" spans="1:1" x14ac:dyDescent="0.2">
      <c r="A20" s="29" t="s">
        <v>180</v>
      </c>
    </row>
    <row r="21" spans="1:1" x14ac:dyDescent="0.2">
      <c r="A21" s="29" t="s">
        <v>181</v>
      </c>
    </row>
    <row r="22" spans="1:1" x14ac:dyDescent="0.2">
      <c r="A22" s="29" t="s">
        <v>182</v>
      </c>
    </row>
    <row r="23" spans="1:1" x14ac:dyDescent="0.2">
      <c r="A23" s="29" t="s">
        <v>183</v>
      </c>
    </row>
    <row r="24" spans="1:1" x14ac:dyDescent="0.2">
      <c r="A24" s="29" t="s">
        <v>184</v>
      </c>
    </row>
    <row r="25" spans="1:1" x14ac:dyDescent="0.2">
      <c r="A25" s="29" t="s">
        <v>185</v>
      </c>
    </row>
    <row r="26" spans="1:1" x14ac:dyDescent="0.2">
      <c r="A26" s="29" t="s">
        <v>186</v>
      </c>
    </row>
    <row r="27" spans="1:1" x14ac:dyDescent="0.2">
      <c r="A27" s="29" t="s">
        <v>187</v>
      </c>
    </row>
    <row r="28" spans="1:1" x14ac:dyDescent="0.2">
      <c r="A28" s="29" t="s">
        <v>188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15"/>
  <sheetViews>
    <sheetView zoomScaleNormal="100" workbookViewId="0">
      <selection activeCell="B30" sqref="B30"/>
    </sheetView>
  </sheetViews>
  <sheetFormatPr baseColWidth="10" defaultColWidth="8.6640625" defaultRowHeight="15" x14ac:dyDescent="0.2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8" x14ac:dyDescent="0.2">
      <c r="B2" s="2" t="s">
        <v>189</v>
      </c>
    </row>
    <row r="3" spans="1:4" x14ac:dyDescent="0.2">
      <c r="B3" s="9" t="s">
        <v>190</v>
      </c>
    </row>
    <row r="5" spans="1:4" x14ac:dyDescent="0.2">
      <c r="A5" s="14"/>
      <c r="B5" s="14" t="s">
        <v>191</v>
      </c>
      <c r="C5" s="14" t="s">
        <v>192</v>
      </c>
      <c r="D5" t="s">
        <v>193</v>
      </c>
    </row>
    <row r="6" spans="1:4" ht="30" customHeight="1" x14ac:dyDescent="0.2">
      <c r="B6" s="30" t="s">
        <v>194</v>
      </c>
      <c r="C6" s="31" t="s">
        <v>208</v>
      </c>
      <c r="D6" s="30" t="s">
        <v>210</v>
      </c>
    </row>
    <row r="7" spans="1:4" ht="30" customHeight="1" x14ac:dyDescent="0.2">
      <c r="B7" s="30" t="s">
        <v>195</v>
      </c>
      <c r="C7" s="31" t="s">
        <v>208</v>
      </c>
      <c r="D7" s="30" t="s">
        <v>211</v>
      </c>
    </row>
    <row r="8" spans="1:4" ht="30" customHeight="1" x14ac:dyDescent="0.2">
      <c r="B8" s="30" t="s">
        <v>196</v>
      </c>
      <c r="C8" s="31" t="s">
        <v>208</v>
      </c>
      <c r="D8" s="33"/>
    </row>
    <row r="9" spans="1:4" ht="30" customHeight="1" x14ac:dyDescent="0.2">
      <c r="B9" s="30" t="s">
        <v>197</v>
      </c>
      <c r="C9" s="31" t="s">
        <v>209</v>
      </c>
      <c r="D9" s="33"/>
    </row>
    <row r="10" spans="1:4" ht="30" customHeight="1" x14ac:dyDescent="0.2">
      <c r="B10" s="30" t="s">
        <v>198</v>
      </c>
      <c r="C10" s="31" t="s">
        <v>208</v>
      </c>
      <c r="D10" s="33"/>
    </row>
    <row r="11" spans="1:4" ht="30" customHeight="1" x14ac:dyDescent="0.2">
      <c r="B11" s="30" t="s">
        <v>199</v>
      </c>
      <c r="C11" s="31" t="s">
        <v>208</v>
      </c>
      <c r="D11" s="33"/>
    </row>
    <row r="12" spans="1:4" ht="30" customHeight="1" x14ac:dyDescent="0.2">
      <c r="B12" s="30" t="s">
        <v>200</v>
      </c>
      <c r="C12" s="31" t="s">
        <v>208</v>
      </c>
      <c r="D12" s="33"/>
    </row>
    <row r="13" spans="1:4" ht="30" customHeight="1" x14ac:dyDescent="0.2">
      <c r="B13" s="30" t="s">
        <v>201</v>
      </c>
      <c r="C13" s="31" t="s">
        <v>208</v>
      </c>
      <c r="D13" s="33"/>
    </row>
    <row r="14" spans="1:4" ht="30" customHeight="1" x14ac:dyDescent="0.2">
      <c r="B14" s="30" t="s">
        <v>202</v>
      </c>
      <c r="C14" s="31" t="s">
        <v>208</v>
      </c>
      <c r="D14" s="33"/>
    </row>
    <row r="15" spans="1:4" ht="30" customHeight="1" x14ac:dyDescent="0.2">
      <c r="B15" s="30" t="s">
        <v>203</v>
      </c>
      <c r="C15" s="31" t="s">
        <v>208</v>
      </c>
      <c r="D15" s="30"/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Garde</vt:lpstr>
      <vt:lpstr>Identification</vt:lpstr>
      <vt:lpstr>Epics</vt:lpstr>
      <vt:lpstr>Backlog</vt:lpstr>
      <vt:lpstr>DoR &amp; DoD</vt:lpstr>
      <vt:lpstr>Auto-évaluation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Gabriel MARTIN</cp:lastModifiedBy>
  <cp:revision>0</cp:revision>
  <dcterms:created xsi:type="dcterms:W3CDTF">2026-06-25T22:39:08Z</dcterms:created>
  <dcterms:modified xsi:type="dcterms:W3CDTF">2026-06-30T10:13:12Z</dcterms:modified>
  <dc:language>en-US</dc:language>
</cp:coreProperties>
</file>