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/Users/gabriel/Downloads/"/>
    </mc:Choice>
  </mc:AlternateContent>
  <xr:revisionPtr revIDLastSave="10" documentId="8_{D700C880-0285-4E5D-96B6-9CA89D048CBB}" xr6:coauthVersionLast="47" xr6:coauthVersionMax="47" xr10:uidLastSave="{29D605EA-451D-4C7C-9870-7FB2E9EE9260}"/>
  <bookViews>
    <workbookView xWindow="0" yWindow="660" windowWidth="30240" windowHeight="17780" tabRatio="500" firstSheet="2" activeTab="4" xr2:uid="{00000000-000D-0000-FFFF-FFFF00000000}"/>
  </bookViews>
  <sheets>
    <sheet name="Garde" sheetId="1" r:id="rId1"/>
    <sheet name="Identification" sheetId="2" r:id="rId2"/>
    <sheet name="Sprint 1" sheetId="3" r:id="rId3"/>
    <sheet name="Burndown Sprint 1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4" l="1"/>
  <c r="D11" i="4"/>
  <c r="D10" i="4"/>
  <c r="D9" i="4"/>
  <c r="D8" i="4"/>
  <c r="F33" i="3"/>
  <c r="E33" i="3"/>
</calcChain>
</file>

<file path=xl/sharedStrings.xml><?xml version="1.0" encoding="utf-8"?>
<sst xmlns="http://schemas.openxmlformats.org/spreadsheetml/2006/main" count="194" uniqueCount="149">
  <si>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</si>
  <si>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</si>
  <si>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</si>
  <si>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</si>
  <si>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</si>
  <si>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</si>
  <si>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</si>
  <si>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</si>
  <si>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</si>
  <si>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</si>
  <si>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</si>
  <si>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Yanis HELALI, Amos CLEGBAZA, Corentin PECONTAL, Médéric LEBOUVIER, Gabriel MARTIN, Matéo FAUQUEMBERGUE</t>
  </si>
  <si>
    <t>Sprint concerné</t>
  </si>
  <si>
    <t>Sprint 1</t>
  </si>
  <si>
    <t>Version</t>
  </si>
  <si>
    <t>v1.0</t>
  </si>
  <si>
    <t>Date de remise</t>
  </si>
  <si>
    <t>30/06/2026  13h00</t>
  </si>
  <si>
    <t>Statut</t>
  </si>
  <si>
    <t>En revue PO</t>
  </si>
  <si>
    <t>💡 Convention de nommage du fichier :</t>
  </si>
  <si>
    <t>equipe-XX-nom-document-vY.Z.xlsx  (ex. equipe-03-product-backlog-v1.0.xlsx)</t>
  </si>
  <si>
    <t>SPRINT BACKLOG : SPRINT 1</t>
  </si>
  <si>
    <t>Lundi PM 14h00 – 18h00 · 24 h-pers · objectif F1+F2 (compte + upload)</t>
  </si>
  <si>
    <t>📋 MÉTADONNÉES DU SPRINT</t>
  </si>
  <si>
    <t>Numéro de sprint</t>
  </si>
  <si>
    <t>Date</t>
  </si>
  <si>
    <t>Lundi 29/06/2026, 14h00 à 18h00 (4 h)</t>
  </si>
  <si>
    <t>Équipe (n personnes)</t>
  </si>
  <si>
    <t>6 personnes</t>
  </si>
  <si>
    <t>Capacité totale</t>
  </si>
  <si>
    <t>6 × 4 h = 24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</si>
  <si>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</si>
  <si>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</si>
  <si>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</si>
  <si>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</si>
  <si>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</si>
  <si>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Gabriel MARTIN</t>
  </si>
  <si>
    <t>Product Owner</t>
  </si>
  <si>
    <t>Mohamed Amine EL AFRIT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</si>
  <si>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</si>
  <si>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</si>
  <si>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</si>
  <si>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</si>
  <si>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</si>
  <si>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</si>
  <si>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</si>
  <si>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</si>
  <si>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</si>
  <si>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</si>
  <si>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</si>
  <si>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</si>
  <si>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</si>
  <si>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</si>
  <si>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</si>
  <si>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</si>
  <si>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</si>
  <si>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Amos CLEGBAZA</t>
  </si>
  <si>
    <t>Todo</t>
  </si>
  <si>
    <t>T-01.2</t>
  </si>
  <si>
    <t>Sérialiseur DRF + endpoint POST /api/signup avec validation email + mdp ≥ 8 car</t>
  </si>
  <si>
    <t>Médéric LEBOUVIER</t>
  </si>
  <si>
    <t>T-01.3</t>
  </si>
  <si>
    <t>Page React /signup (formulaire + validation client + appel API + redirect)</t>
  </si>
  <si>
    <t>Corentin PECONTAL</t>
  </si>
  <si>
    <t>T-01.4</t>
  </si>
  <si>
    <t>Tests pytest endpoint + Vitest composant React</t>
  </si>
  <si>
    <t>Yanis HELALI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</si>
  <si>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</si>
  <si>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</si>
  <si>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</si>
  <si>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</si>
  <si>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</si>
  <si>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Matéo FAUQUEMBERGUE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</si>
  <si>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</si>
  <si>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</si>
  <si>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</si>
  <si>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</si>
  <si>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T-02.5</t>
  </si>
  <si>
    <t>Tests pytest + Vitest + ajout README section upload</t>
  </si>
  <si>
    <t>—</t>
  </si>
  <si>
    <t>T-00.1</t>
  </si>
  <si>
    <t>Setup env dev local (Docker Compose, .env, PostgreSQL, npm install) pour chaque membre</t>
  </si>
  <si>
    <t>T-00.2</t>
  </si>
  <si>
    <t>Créer board GitHub Projects + Issues Sprint 1 (US-01, US-02)</t>
  </si>
  <si>
    <t>T-01.5</t>
  </si>
  <si>
    <t>Configurer SMTP + vérifier envoi email de vérification compte</t>
  </si>
  <si>
    <t>T-02.6</t>
  </si>
  <si>
    <t>Vérifier flow complet : upload → contenu extrait → bouton "Générer" visible</t>
  </si>
  <si>
    <t>TOTAL</t>
  </si>
  <si>
    <t>21.5 h estimées · capacité 24 h-pers · marge 2.5 h pour imprévus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</si>
  <si>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</si>
  <si>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</si>
  <si>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</si>
  <si>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</si>
  <si>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</si>
  <si>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</si>
  <si>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</si>
  <si>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</si>
  <si>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</si>
  <si>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</si>
  <si>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</si>
  <si>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</si>
  <si>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</si>
  <si>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21.5h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</si>
  <si>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</si>
  <si>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</si>
  <si>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</si>
  <si>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</si>
  <si>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</si>
  <si>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</si>
  <si>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[à compléter]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</si>
  <si>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</si>
  <si>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</si>
  <si>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</si>
  <si>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</si>
  <si>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</si>
  <si>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</si>
  <si>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</si>
  <si>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</si>
  <si>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</si>
  <si>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</si>
  <si>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</si>
  <si>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</si>
  <si>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</si>
  <si>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</si>
  <si>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</si>
  <si>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</si>
  <si>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</si>
  <si>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</si>
  <si>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</si>
  <si>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</si>
  <si>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</si>
  <si>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</si>
  <si>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</si>
  <si>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</si>
  <si>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</si>
  <si>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</si>
  <si>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☑ Oui   ☐ Partiel   ☐ Non</t>
  </si>
  <si>
    <t>Stories engagées tirées du Product Backlog avec leur ID (US-XX)</t>
  </si>
  <si>
    <t>☑Oui   ☐ Partiel   ☐ Non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</si>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</sst>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"/>
    </font>
    <font>
      <b/>
      <sz val="72"/>
      <color rgb="FF1E1B4B"/>
      <name val="Cambria"/>
      <family val="1"/>
    </font>
    <font>
      <b/>
      <sz val="14"/>
      <color rgb="FF1E1B4B"/>
      <name val="Cambria"/>
      <family val="1"/>
    </font>
    <font>
      <b/>
      <sz val="10"/>
      <color rgb="FFF59E0B"/>
      <name val="Cambria"/>
      <family val="1"/>
    </font>
    <font>
      <b/>
      <sz val="24"/>
      <color rgb="FF1E1B4B"/>
      <name val="Cambria"/>
      <family val="1"/>
    </font>
    <font>
      <i/>
      <sz val="12"/>
      <color rgb="FF475569"/>
      <name val="Cambria"/>
      <family val="1"/>
    </font>
    <font>
      <b/>
      <sz val="11"/>
      <color rgb="FF475569"/>
      <name val="Cambria"/>
      <family val="1"/>
    </font>
    <font>
      <i/>
      <sz val="9"/>
      <color rgb="FF475569"/>
      <name val="Cambria"/>
      <family val="1"/>
    </font>
    <font>
      <b/>
      <sz val="12"/>
      <color rgb="FFF59E0B"/>
      <name val="Cambria"/>
      <family val="1"/>
    </font>
    <font>
      <i/>
      <sz val="10"/>
      <color rgb="FF475569"/>
      <name val="Cambria"/>
      <family val="1"/>
    </font>
    <font>
      <b/>
      <sz val="11"/>
      <color rgb="FF1E1B4B"/>
      <name val="Cambria"/>
      <family val="1"/>
    </font>
    <font>
      <i/>
      <sz val="11"/>
      <color rgb="FF475569"/>
      <name val="Cambria"/>
      <family val="1"/>
    </font>
    <font>
      <b/>
      <sz val="9"/>
      <color rgb="FFF59E0B"/>
      <name val="Cambria"/>
      <family val="1"/>
    </font>
    <font>
      <b/>
      <sz val="18"/>
      <color rgb="FF1E1B4B"/>
      <name val="Cambria"/>
      <family val="1"/>
    </font>
    <font>
      <b/>
      <sz val="10"/>
      <color rgb="FF1E1B4B"/>
      <name val="Cambria"/>
      <family val="1"/>
    </font>
    <font>
      <sz val="10"/>
      <color rgb="FF1E1B4B"/>
      <name val="Cambria"/>
      <family val="1"/>
    </font>
    <font>
      <b/>
      <sz val="10"/>
      <color rgb="FF16A34A"/>
      <name val="Cambria"/>
      <family val="1"/>
    </font>
    <font>
      <b/>
      <sz val="10"/>
      <color rgb="FFDC2626"/>
      <name val="Cambria"/>
      <family val="1"/>
    </font>
    <font>
      <b/>
      <sz val="11"/>
      <color rgb="FFFFFFFF"/>
      <name val="Cambria"/>
      <family val="1"/>
    </font>
    <font>
      <b/>
      <sz val="10"/>
      <color rgb="FF475569"/>
      <name val="Cambria"/>
      <family val="1"/>
    </font>
    <font>
      <b/>
      <sz val="10"/>
      <color rgb="FFB45309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E0E7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0" fillId="6" borderId="2" xfId="0" applyFont="1" applyFill="1" applyBorder="1"/>
    <xf numFmtId="0" fontId="0" fillId="6" borderId="2" xfId="0" applyFill="1" applyBorder="1"/>
    <xf numFmtId="0" fontId="9" fillId="6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zoomScaleNormal="100" workbookViewId="0"/>
  </sheetViews>
  <sheetFormatPr defaultColWidth="8.7109375" defaultRowHeight="15"/>
  <cols>
    <col min="1" max="1" width="4" customWidth="1"/>
    <col min="2" max="2" width="90" customWidth="1"/>
  </cols>
  <sheetData>
    <row r="2" spans="2:2" ht="89.1">
      <c r="B2" s="1" t="s">
        <v>0</v>
      </c>
    </row>
    <row r="4" spans="2:2" ht="18">
      <c r="B4" s="2" t="s">
        <v>1</v>
      </c>
    </row>
    <row r="8" spans="2:2">
      <c r="B8" s="3" t="s">
        <v>2</v>
      </c>
    </row>
    <row r="10" spans="2:2" ht="30">
      <c r="B10" s="4" t="s">
        <v>3</v>
      </c>
    </row>
    <row r="12" spans="2:2" ht="15.95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zoomScaleNormal="100" workbookViewId="0"/>
  </sheetViews>
  <sheetFormatPr defaultColWidth="8.7109375" defaultRowHeight="15"/>
  <cols>
    <col min="1" max="1" width="2" customWidth="1"/>
    <col min="2" max="2" width="25" customWidth="1"/>
    <col min="3" max="3" width="60" customWidth="1"/>
  </cols>
  <sheetData>
    <row r="2" spans="2:3" ht="15.95">
      <c r="B2" s="8" t="s">
        <v>7</v>
      </c>
    </row>
    <row r="3" spans="2:3">
      <c r="B3" s="9" t="s">
        <v>8</v>
      </c>
    </row>
    <row r="5" spans="2:3" ht="21.75" customHeight="1">
      <c r="B5" s="10" t="s">
        <v>9</v>
      </c>
      <c r="C5" s="11">
        <v>24</v>
      </c>
    </row>
    <row r="6" spans="2:3" ht="21.75" customHeight="1">
      <c r="B6" s="10" t="s">
        <v>10</v>
      </c>
      <c r="C6" s="11" t="s">
        <v>11</v>
      </c>
    </row>
    <row r="7" spans="2:3" ht="21.75" customHeight="1">
      <c r="B7" s="10" t="s">
        <v>12</v>
      </c>
      <c r="C7" s="11" t="s">
        <v>13</v>
      </c>
    </row>
    <row r="8" spans="2:3" ht="21.75" customHeight="1">
      <c r="B8" s="10" t="s">
        <v>14</v>
      </c>
      <c r="C8" s="11" t="s">
        <v>15</v>
      </c>
    </row>
    <row r="9" spans="2:3" ht="21.75" customHeight="1">
      <c r="B9" s="10" t="s">
        <v>16</v>
      </c>
      <c r="C9" s="11" t="s">
        <v>17</v>
      </c>
    </row>
    <row r="10" spans="2:3" ht="21.75" customHeight="1">
      <c r="B10" s="10" t="s">
        <v>18</v>
      </c>
      <c r="C10" s="11" t="s">
        <v>19</v>
      </c>
    </row>
    <row r="12" spans="2:3">
      <c r="B12" s="12" t="s">
        <v>20</v>
      </c>
    </row>
    <row r="13" spans="2:3">
      <c r="B13" s="7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showGridLines="0" zoomScaleNormal="100" workbookViewId="0">
      <pane ySplit="19" topLeftCell="A26" activePane="bottomLeft" state="frozen"/>
      <selection pane="bottomLeft" activeCell="B7" sqref="B7"/>
    </sheetView>
  </sheetViews>
  <sheetFormatPr defaultColWidth="8.7109375"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3.1">
      <c r="A1" s="13" t="s">
        <v>22</v>
      </c>
    </row>
    <row r="2" spans="1:2">
      <c r="A2" s="9" t="s">
        <v>23</v>
      </c>
    </row>
    <row r="4" spans="1:2" ht="15.95">
      <c r="A4" s="8" t="s">
        <v>24</v>
      </c>
    </row>
    <row r="5" spans="1:2" ht="21.75" customHeight="1">
      <c r="A5" s="14" t="s">
        <v>25</v>
      </c>
      <c r="B5" s="15" t="s">
        <v>13</v>
      </c>
    </row>
    <row r="6" spans="1:2" ht="21.75" customHeight="1">
      <c r="A6" s="14" t="s">
        <v>26</v>
      </c>
      <c r="B6" s="15" t="s">
        <v>27</v>
      </c>
    </row>
    <row r="7" spans="1:2" ht="21.75" customHeight="1">
      <c r="A7" s="14" t="s">
        <v>28</v>
      </c>
      <c r="B7" s="15" t="s">
        <v>29</v>
      </c>
    </row>
    <row r="8" spans="1:2" ht="21.75" customHeight="1">
      <c r="A8" s="14" t="s">
        <v>30</v>
      </c>
      <c r="B8" s="15" t="s">
        <v>31</v>
      </c>
    </row>
    <row r="9" spans="1:2" ht="21.75" customHeight="1">
      <c r="A9" s="14" t="s">
        <v>32</v>
      </c>
      <c r="B9" s="15" t="s">
        <v>33</v>
      </c>
    </row>
    <row r="10" spans="1:2" ht="21.75" customHeight="1">
      <c r="A10" s="14" t="s">
        <v>34</v>
      </c>
      <c r="B10" s="15" t="s">
        <v>35</v>
      </c>
    </row>
    <row r="11" spans="1:2" ht="21.75" customHeight="1">
      <c r="A11" s="14" t="s">
        <v>36</v>
      </c>
      <c r="B11" s="15" t="s">
        <v>37</v>
      </c>
    </row>
    <row r="12" spans="1:2" ht="21.75" customHeight="1">
      <c r="A12" s="14" t="s">
        <v>38</v>
      </c>
      <c r="B12" s="15" t="s">
        <v>39</v>
      </c>
    </row>
    <row r="14" spans="1:2">
      <c r="A14" s="3" t="s">
        <v>40</v>
      </c>
      <c r="B14" s="9" t="s">
        <v>41</v>
      </c>
    </row>
    <row r="15" spans="1:2">
      <c r="A15" s="3" t="s">
        <v>42</v>
      </c>
      <c r="B15" s="9" t="s">
        <v>43</v>
      </c>
    </row>
    <row r="16" spans="1:2">
      <c r="A16" s="16" t="s">
        <v>44</v>
      </c>
      <c r="B16" s="9" t="s">
        <v>45</v>
      </c>
    </row>
    <row r="17" spans="1:7">
      <c r="A17" s="17" t="s">
        <v>46</v>
      </c>
      <c r="B17" s="9" t="s">
        <v>47</v>
      </c>
    </row>
    <row r="19" spans="1:7">
      <c r="A19" s="18" t="s">
        <v>48</v>
      </c>
      <c r="B19" s="18" t="s">
        <v>49</v>
      </c>
      <c r="C19" s="18" t="s">
        <v>50</v>
      </c>
      <c r="D19" s="18" t="s">
        <v>51</v>
      </c>
      <c r="E19" s="18" t="s">
        <v>52</v>
      </c>
      <c r="F19" s="18" t="s">
        <v>53</v>
      </c>
      <c r="G19" s="18" t="s">
        <v>18</v>
      </c>
    </row>
    <row r="20" spans="1:7" ht="30" customHeight="1">
      <c r="A20" s="19" t="s">
        <v>54</v>
      </c>
      <c r="B20" s="19" t="s">
        <v>55</v>
      </c>
      <c r="C20" s="20" t="s">
        <v>56</v>
      </c>
      <c r="D20" s="20" t="s">
        <v>57</v>
      </c>
      <c r="E20" s="21">
        <v>1</v>
      </c>
      <c r="F20" s="21">
        <v>1</v>
      </c>
      <c r="G20" s="20" t="s">
        <v>58</v>
      </c>
    </row>
    <row r="21" spans="1:7" ht="30" customHeight="1">
      <c r="A21" s="19" t="s">
        <v>54</v>
      </c>
      <c r="B21" s="19" t="s">
        <v>59</v>
      </c>
      <c r="C21" s="20" t="s">
        <v>60</v>
      </c>
      <c r="D21" s="20" t="s">
        <v>61</v>
      </c>
      <c r="E21" s="21">
        <v>2</v>
      </c>
      <c r="F21" s="21">
        <v>2</v>
      </c>
      <c r="G21" s="20" t="s">
        <v>58</v>
      </c>
    </row>
    <row r="22" spans="1:7" ht="30" customHeight="1">
      <c r="A22" s="19" t="s">
        <v>54</v>
      </c>
      <c r="B22" s="19" t="s">
        <v>62</v>
      </c>
      <c r="C22" s="20" t="s">
        <v>63</v>
      </c>
      <c r="D22" s="20" t="s">
        <v>64</v>
      </c>
      <c r="E22" s="21">
        <v>3</v>
      </c>
      <c r="F22" s="21">
        <v>3</v>
      </c>
      <c r="G22" s="20" t="s">
        <v>58</v>
      </c>
    </row>
    <row r="23" spans="1:7" ht="30" customHeight="1">
      <c r="A23" s="19" t="s">
        <v>54</v>
      </c>
      <c r="B23" s="19" t="s">
        <v>65</v>
      </c>
      <c r="C23" s="20" t="s">
        <v>66</v>
      </c>
      <c r="D23" s="20" t="s">
        <v>67</v>
      </c>
      <c r="E23" s="21">
        <v>1</v>
      </c>
      <c r="F23" s="21">
        <v>1</v>
      </c>
      <c r="G23" s="20" t="s">
        <v>58</v>
      </c>
    </row>
    <row r="24" spans="1:7" ht="30" customHeight="1">
      <c r="A24" s="22" t="s">
        <v>68</v>
      </c>
      <c r="B24" s="22" t="s">
        <v>69</v>
      </c>
      <c r="C24" s="23" t="s">
        <v>70</v>
      </c>
      <c r="D24" s="23" t="s">
        <v>61</v>
      </c>
      <c r="E24" s="24">
        <v>1</v>
      </c>
      <c r="F24" s="24">
        <v>1</v>
      </c>
      <c r="G24" s="23" t="s">
        <v>58</v>
      </c>
    </row>
    <row r="25" spans="1:7" ht="30" customHeight="1">
      <c r="A25" s="22" t="s">
        <v>68</v>
      </c>
      <c r="B25" s="22" t="s">
        <v>71</v>
      </c>
      <c r="C25" s="23" t="s">
        <v>72</v>
      </c>
      <c r="D25" s="23" t="s">
        <v>73</v>
      </c>
      <c r="E25" s="24">
        <v>3</v>
      </c>
      <c r="F25" s="24">
        <v>3</v>
      </c>
      <c r="G25" s="23" t="s">
        <v>58</v>
      </c>
    </row>
    <row r="26" spans="1:7" ht="30" customHeight="1">
      <c r="A26" s="22" t="s">
        <v>68</v>
      </c>
      <c r="B26" s="22" t="s">
        <v>74</v>
      </c>
      <c r="C26" s="23" t="s">
        <v>75</v>
      </c>
      <c r="D26" s="23" t="s">
        <v>57</v>
      </c>
      <c r="E26" s="24">
        <v>1</v>
      </c>
      <c r="F26" s="24">
        <v>1</v>
      </c>
      <c r="G26" s="23" t="s">
        <v>58</v>
      </c>
    </row>
    <row r="27" spans="1:7" ht="30" customHeight="1">
      <c r="A27" s="22" t="s">
        <v>68</v>
      </c>
      <c r="B27" s="22" t="s">
        <v>76</v>
      </c>
      <c r="C27" s="23" t="s">
        <v>77</v>
      </c>
      <c r="D27" s="23" t="s">
        <v>64</v>
      </c>
      <c r="E27" s="24">
        <v>3</v>
      </c>
      <c r="F27" s="24">
        <v>3</v>
      </c>
      <c r="G27" s="23" t="s">
        <v>58</v>
      </c>
    </row>
    <row r="28" spans="1:7" ht="30" customHeight="1">
      <c r="A28" s="22" t="s">
        <v>68</v>
      </c>
      <c r="B28" s="22" t="s">
        <v>78</v>
      </c>
      <c r="C28" s="23" t="s">
        <v>79</v>
      </c>
      <c r="D28" s="23" t="s">
        <v>37</v>
      </c>
      <c r="E28" s="24">
        <v>1</v>
      </c>
      <c r="F28" s="24">
        <v>1</v>
      </c>
      <c r="G28" s="23" t="s">
        <v>58</v>
      </c>
    </row>
    <row r="29" spans="1:7" ht="30" customHeight="1">
      <c r="A29" s="19" t="s">
        <v>80</v>
      </c>
      <c r="B29" s="19" t="s">
        <v>81</v>
      </c>
      <c r="C29" s="20" t="s">
        <v>82</v>
      </c>
      <c r="D29" s="20" t="s">
        <v>57</v>
      </c>
      <c r="E29" s="21">
        <v>2</v>
      </c>
      <c r="F29" s="21">
        <v>2</v>
      </c>
      <c r="G29" s="20" t="s">
        <v>58</v>
      </c>
    </row>
    <row r="30" spans="1:7" ht="27.95">
      <c r="A30" s="19" t="s">
        <v>80</v>
      </c>
      <c r="B30" s="19" t="s">
        <v>83</v>
      </c>
      <c r="C30" s="20" t="s">
        <v>84</v>
      </c>
      <c r="D30" s="20" t="s">
        <v>64</v>
      </c>
      <c r="E30" s="21">
        <v>1</v>
      </c>
      <c r="F30" s="21">
        <v>1</v>
      </c>
      <c r="G30" s="20" t="s">
        <v>58</v>
      </c>
    </row>
    <row r="31" spans="1:7" ht="27.95">
      <c r="A31" s="19" t="s">
        <v>54</v>
      </c>
      <c r="B31" s="19" t="s">
        <v>85</v>
      </c>
      <c r="C31" s="20" t="s">
        <v>86</v>
      </c>
      <c r="D31" s="20" t="s">
        <v>37</v>
      </c>
      <c r="E31" s="21">
        <v>1.5</v>
      </c>
      <c r="F31" s="21">
        <v>1.5</v>
      </c>
      <c r="G31" s="20" t="s">
        <v>58</v>
      </c>
    </row>
    <row r="32" spans="1:7" ht="27.95">
      <c r="A32" s="19" t="s">
        <v>68</v>
      </c>
      <c r="B32" s="19" t="s">
        <v>87</v>
      </c>
      <c r="C32" s="20" t="s">
        <v>88</v>
      </c>
      <c r="D32" s="20" t="s">
        <v>67</v>
      </c>
      <c r="E32" s="21">
        <v>1</v>
      </c>
      <c r="F32" s="21">
        <v>1</v>
      </c>
      <c r="G32" s="20" t="s">
        <v>58</v>
      </c>
    </row>
    <row r="33" spans="1:7">
      <c r="A33" s="25" t="s">
        <v>89</v>
      </c>
      <c r="B33" s="26"/>
      <c r="C33" s="27" t="s">
        <v>90</v>
      </c>
      <c r="D33" s="26"/>
      <c r="E33" s="25">
        <f>SUM(E20:E32)</f>
        <v>21.5</v>
      </c>
      <c r="F33" s="25">
        <f>SUM(F20:F32)</f>
        <v>21.5</v>
      </c>
      <c r="G33" s="26"/>
    </row>
    <row r="35" spans="1:7">
      <c r="A35" s="3" t="s">
        <v>91</v>
      </c>
    </row>
    <row r="36" spans="1:7">
      <c r="A36" s="28" t="s">
        <v>58</v>
      </c>
      <c r="B36" s="9" t="s">
        <v>92</v>
      </c>
    </row>
    <row r="37" spans="1:7">
      <c r="A37" s="29" t="s">
        <v>93</v>
      </c>
      <c r="B37" s="9" t="s">
        <v>94</v>
      </c>
    </row>
    <row r="38" spans="1:7">
      <c r="A38" s="17" t="s">
        <v>95</v>
      </c>
      <c r="B38" s="9" t="s">
        <v>96</v>
      </c>
    </row>
    <row r="39" spans="1:7">
      <c r="A39" s="16" t="s">
        <v>97</v>
      </c>
      <c r="B39" s="9" t="s">
        <v>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zoomScaleNormal="100" workbookViewId="0"/>
  </sheetViews>
  <sheetFormatPr defaultColWidth="8.7109375" defaultRowHeight="15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1">
      <c r="A1" s="13" t="s">
        <v>99</v>
      </c>
    </row>
    <row r="2" spans="1:5">
      <c r="A2" s="9" t="s">
        <v>100</v>
      </c>
    </row>
    <row r="4" spans="1:5">
      <c r="A4" s="3" t="s">
        <v>101</v>
      </c>
      <c r="B4" s="9" t="s">
        <v>102</v>
      </c>
    </row>
    <row r="5" spans="1:5">
      <c r="A5" s="3" t="s">
        <v>103</v>
      </c>
      <c r="B5" s="9" t="s">
        <v>104</v>
      </c>
    </row>
    <row r="7" spans="1:5">
      <c r="A7" s="18" t="s">
        <v>105</v>
      </c>
      <c r="B7" s="18" t="s">
        <v>106</v>
      </c>
      <c r="C7" s="18" t="s">
        <v>107</v>
      </c>
      <c r="D7" s="18" t="s">
        <v>108</v>
      </c>
      <c r="E7" s="18" t="s">
        <v>109</v>
      </c>
    </row>
    <row r="8" spans="1:5" ht="24.75" customHeight="1">
      <c r="A8" s="30" t="s">
        <v>110</v>
      </c>
      <c r="B8" s="31">
        <v>21.5</v>
      </c>
      <c r="C8" s="31" t="s">
        <v>111</v>
      </c>
      <c r="D8" s="31" t="str">
        <f>IF(C8="[à compléter]","",C8-B8)</f>
        <v/>
      </c>
      <c r="E8" s="15" t="s">
        <v>112</v>
      </c>
    </row>
    <row r="9" spans="1:5" ht="24.75" customHeight="1">
      <c r="A9" s="30" t="s">
        <v>113</v>
      </c>
      <c r="B9" s="31">
        <v>16.100000000000001</v>
      </c>
      <c r="C9" s="31" t="s">
        <v>111</v>
      </c>
      <c r="D9" s="31" t="str">
        <f>IF(C9="[à compléter]","",C9-B9)</f>
        <v/>
      </c>
      <c r="E9" s="15" t="s">
        <v>114</v>
      </c>
    </row>
    <row r="10" spans="1:5" ht="24.75" customHeight="1">
      <c r="A10" s="30" t="s">
        <v>115</v>
      </c>
      <c r="B10" s="31">
        <v>10.8</v>
      </c>
      <c r="C10" s="31" t="s">
        <v>111</v>
      </c>
      <c r="D10" s="31" t="str">
        <f>IF(C10="[à compléter]","",C10-B10)</f>
        <v/>
      </c>
      <c r="E10" s="15" t="s">
        <v>116</v>
      </c>
    </row>
    <row r="11" spans="1:5" ht="24.75" customHeight="1">
      <c r="A11" s="30" t="s">
        <v>117</v>
      </c>
      <c r="B11" s="31">
        <v>5.4</v>
      </c>
      <c r="C11" s="31" t="s">
        <v>111</v>
      </c>
      <c r="D11" s="31" t="str">
        <f>IF(C11="[à compléter]","",C11-B11)</f>
        <v/>
      </c>
      <c r="E11" s="15" t="s">
        <v>118</v>
      </c>
    </row>
    <row r="12" spans="1:5" ht="24.75" customHeight="1">
      <c r="A12" s="30" t="s">
        <v>119</v>
      </c>
      <c r="B12" s="31">
        <v>0</v>
      </c>
      <c r="C12" s="31" t="s">
        <v>111</v>
      </c>
      <c r="D12" s="31" t="str">
        <f>IF(C12="[à compléter]","",C12-B12)</f>
        <v/>
      </c>
      <c r="E12" s="15" t="s">
        <v>120</v>
      </c>
    </row>
    <row r="15" spans="1:5">
      <c r="A15" s="3" t="s">
        <v>121</v>
      </c>
      <c r="B15" s="7" t="s">
        <v>122</v>
      </c>
    </row>
    <row r="17" spans="1:2">
      <c r="A17" s="3" t="s">
        <v>123</v>
      </c>
    </row>
    <row r="18" spans="1:2">
      <c r="A18" s="16" t="s">
        <v>124</v>
      </c>
      <c r="B18" s="9" t="s">
        <v>125</v>
      </c>
    </row>
    <row r="19" spans="1:2">
      <c r="A19" s="29" t="s">
        <v>126</v>
      </c>
      <c r="B19" s="9" t="s">
        <v>127</v>
      </c>
    </row>
    <row r="20" spans="1:2">
      <c r="A20" s="16" t="s">
        <v>128</v>
      </c>
      <c r="B20" s="9" t="s">
        <v>129</v>
      </c>
    </row>
    <row r="21" spans="1:2">
      <c r="A21" s="17" t="s">
        <v>130</v>
      </c>
      <c r="B21" s="9" t="s">
        <v>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tabSelected="1" zoomScaleNormal="100" workbookViewId="0">
      <selection activeCell="C15" sqref="C15"/>
    </sheetView>
  </sheetViews>
  <sheetFormatPr defaultColWidth="8.7109375"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>
      <c r="B2" s="2" t="s">
        <v>132</v>
      </c>
    </row>
    <row r="3" spans="1:4">
      <c r="B3" s="9" t="s">
        <v>133</v>
      </c>
    </row>
    <row r="5" spans="1:4">
      <c r="A5" s="18"/>
      <c r="B5" s="18" t="s">
        <v>134</v>
      </c>
      <c r="C5" s="18" t="s">
        <v>135</v>
      </c>
      <c r="D5" t="s">
        <v>136</v>
      </c>
    </row>
    <row r="6" spans="1:4" ht="30" customHeight="1">
      <c r="B6" s="32" t="s">
        <v>137</v>
      </c>
      <c r="C6" s="33" t="s">
        <v>138</v>
      </c>
      <c r="D6" s="32"/>
    </row>
    <row r="7" spans="1:4" ht="30" customHeight="1">
      <c r="B7" s="32" t="s">
        <v>139</v>
      </c>
      <c r="C7" s="33" t="s">
        <v>140</v>
      </c>
      <c r="D7" s="32"/>
    </row>
    <row r="8" spans="1:4" ht="30" customHeight="1">
      <c r="B8" s="32" t="s">
        <v>141</v>
      </c>
      <c r="C8" s="33" t="s">
        <v>138</v>
      </c>
      <c r="D8" s="32"/>
    </row>
    <row r="9" spans="1:4" ht="30" customHeight="1">
      <c r="B9" s="32" t="s">
        <v>142</v>
      </c>
      <c r="C9" s="33" t="s">
        <v>138</v>
      </c>
      <c r="D9" s="32"/>
    </row>
    <row r="10" spans="1:4" ht="30" customHeight="1">
      <c r="B10" s="32" t="s">
        <v>143</v>
      </c>
      <c r="C10" s="33" t="s">
        <v>138</v>
      </c>
      <c r="D10" s="32"/>
    </row>
    <row r="11" spans="1:4" ht="30" customHeight="1">
      <c r="B11" s="32" t="s">
        <v>144</v>
      </c>
      <c r="C11" s="33" t="s">
        <v>138</v>
      </c>
      <c r="D11" s="32"/>
    </row>
    <row r="12" spans="1:4" ht="30" customHeight="1">
      <c r="B12" s="32" t="s">
        <v>145</v>
      </c>
      <c r="C12" s="33" t="s">
        <v>138</v>
      </c>
      <c r="D12" s="32"/>
    </row>
    <row r="13" spans="1:4" ht="30" customHeight="1">
      <c r="B13" s="32" t="s">
        <v>146</v>
      </c>
      <c r="C13" s="33" t="s">
        <v>140</v>
      </c>
      <c r="D13" s="32"/>
    </row>
    <row r="14" spans="1:4" ht="30" customHeight="1">
      <c r="B14" s="32" t="s">
        <v>147</v>
      </c>
      <c r="C14" s="33" t="s">
        <v>138</v>
      </c>
      <c r="D14" s="32"/>
    </row>
    <row r="15" spans="1:4" ht="30" customHeight="1">
      <c r="B15" s="32" t="s">
        <v>148</v>
      </c>
      <c r="C15" s="33" t="s">
        <v>140</v>
      </c>
      <c r="D15" s="32"/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ée un document." ma:contentTypeScope="" ma:versionID="530aa9c009d146a80c49f02630cdfc2d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97f7f33240c9425ea547835b506498e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EB1A03-4C8B-4DE7-AFE5-2A39ADA08CF2}"/>
</file>

<file path=customXml/itemProps2.xml><?xml version="1.0" encoding="utf-8"?>
<ds:datastoreItem xmlns:ds="http://schemas.openxmlformats.org/officeDocument/2006/customXml" ds:itemID="{5C5F0DB1-9D1F-4083-A25B-33BC64477213}"/>
</file>

<file path=customXml/itemProps3.xml><?xml version="1.0" encoding="utf-8"?>
<ds:datastoreItem xmlns:ds="http://schemas.openxmlformats.org/officeDocument/2006/customXml" ds:itemID="{8CC135BE-3FF2-48B8-8233-3C0C44AFC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Amos CLEGBAZA</cp:lastModifiedBy>
  <cp:revision>0</cp:revision>
  <dcterms:created xsi:type="dcterms:W3CDTF">2026-06-25T22:39:08Z</dcterms:created>
  <dcterms:modified xsi:type="dcterms:W3CDTF">2026-07-01T09:16:33Z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